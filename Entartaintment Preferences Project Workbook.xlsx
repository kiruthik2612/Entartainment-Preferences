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Ex1.xml" ContentType="application/vnd.ms-office.chartex+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queryTables/queryTable2.xml" ContentType="application/vnd.openxmlformats-officedocument.spreadsheetml.queryTable+xml"/>
  <Override PartName="/xl/drawings/drawing3.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charts/chart18.xml" ContentType="application/vnd.openxmlformats-officedocument.drawingml.chart+xml"/>
  <Override PartName="/xl/charts/style22.xml" ContentType="application/vnd.ms-office.chartstyle+xml"/>
  <Override PartName="/xl/charts/colors22.xml" ContentType="application/vnd.ms-office.chartcolorstyle+xml"/>
  <Override PartName="/xl/charts/chart19.xml" ContentType="application/vnd.openxmlformats-officedocument.drawingml.chart+xml"/>
  <Override PartName="/xl/charts/style23.xml" ContentType="application/vnd.ms-office.chartstyle+xml"/>
  <Override PartName="/xl/charts/colors23.xml" ContentType="application/vnd.ms-office.chartcolorstyle+xml"/>
  <Override PartName="/xl/charts/chart20.xml" ContentType="application/vnd.openxmlformats-officedocument.drawingml.chart+xml"/>
  <Override PartName="/xl/charts/style24.xml" ContentType="application/vnd.ms-office.chartstyle+xml"/>
  <Override PartName="/xl/charts/colors24.xml" ContentType="application/vnd.ms-office.chartcolorstyle+xml"/>
  <Override PartName="/xl/charts/chart21.xml" ContentType="application/vnd.openxmlformats-officedocument.drawingml.chart+xml"/>
  <Override PartName="/xl/charts/style25.xml" ContentType="application/vnd.ms-office.chartstyle+xml"/>
  <Override PartName="/xl/charts/colors25.xml" ContentType="application/vnd.ms-office.chartcolorstyle+xml"/>
  <Override PartName="/xl/charts/chart22.xml" ContentType="application/vnd.openxmlformats-officedocument.drawingml.chart+xml"/>
  <Override PartName="/xl/charts/style26.xml" ContentType="application/vnd.ms-office.chartstyle+xml"/>
  <Override PartName="/xl/charts/colors26.xml" ContentType="application/vnd.ms-office.chartcolorstyle+xml"/>
  <Override PartName="/xl/charts/chart23.xml" ContentType="application/vnd.openxmlformats-officedocument.drawingml.chart+xml"/>
  <Override PartName="/xl/charts/style27.xml" ContentType="application/vnd.ms-office.chartstyle+xml"/>
  <Override PartName="/xl/charts/colors27.xml" ContentType="application/vnd.ms-office.chartcolorstyle+xml"/>
  <Override PartName="/xl/charts/chartEx5.xml" ContentType="application/vnd.ms-office.chartex+xml"/>
  <Override PartName="/xl/charts/style28.xml" ContentType="application/vnd.ms-office.chartstyle+xml"/>
  <Override PartName="/xl/charts/colors28.xml" ContentType="application/vnd.ms-office.chartcolorstyle+xml"/>
  <Override PartName="/xl/charts/chartEx6.xml" ContentType="application/vnd.ms-office.chartex+xml"/>
  <Override PartName="/xl/charts/style29.xml" ContentType="application/vnd.ms-office.chartstyle+xml"/>
  <Override PartName="/xl/charts/colors29.xml" ContentType="application/vnd.ms-office.chartcolorstyle+xml"/>
  <Override PartName="/xl/charts/chartEx7.xml" ContentType="application/vnd.ms-office.chartex+xml"/>
  <Override PartName="/xl/charts/style30.xml" ContentType="application/vnd.ms-office.chartstyle+xml"/>
  <Override PartName="/xl/charts/colors30.xml" ContentType="application/vnd.ms-office.chartcolorstyle+xml"/>
  <Override PartName="/xl/charts/chartEx8.xml" ContentType="application/vnd.ms-office.chartex+xml"/>
  <Override PartName="/xl/charts/style31.xml" ContentType="application/vnd.ms-office.chartstyle+xml"/>
  <Override PartName="/xl/charts/colors3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db91f9826a4c5a3a/Desktop/EXEL PROJECT/"/>
    </mc:Choice>
  </mc:AlternateContent>
  <xr:revisionPtr revIDLastSave="0" documentId="8_{32E68DA0-6FAA-4D07-8292-DDA9BBC82428}" xr6:coauthVersionLast="47" xr6:coauthVersionMax="47" xr10:uidLastSave="{00000000-0000-0000-0000-000000000000}"/>
  <bookViews>
    <workbookView xWindow="-120" yWindow="-120" windowWidth="20730" windowHeight="11040" activeTab="1" xr2:uid="{1B72619E-842B-40B2-912A-011EFEB600CB}"/>
  </bookViews>
  <sheets>
    <sheet name="entertainment_preferences_250" sheetId="2" r:id="rId1"/>
    <sheet name="Sheet1" sheetId="4" r:id="rId2"/>
    <sheet name="Sheet 2" sheetId="11" r:id="rId3"/>
    <sheet name="Sheet3" sheetId="8" r:id="rId4"/>
    <sheet name="Dashboard" sheetId="7" r:id="rId5"/>
  </sheets>
  <definedNames>
    <definedName name="_xlchart.v1.0" hidden="1">'Sheet 2'!$AS$2:$AS$251</definedName>
    <definedName name="_xlchart.v1.1" hidden="1">'Sheet 2'!$AT$1</definedName>
    <definedName name="_xlchart.v1.10" hidden="1">'Sheet 2'!$AE$1</definedName>
    <definedName name="_xlchart.v1.11" hidden="1">'Sheet 2'!$AE$2:$AE$251</definedName>
    <definedName name="_xlchart.v1.12" hidden="1">'Sheet 2'!$A$2:$A$251</definedName>
    <definedName name="_xlchart.v1.13" hidden="1">'Sheet 2'!$B$1</definedName>
    <definedName name="_xlchart.v1.14" hidden="1">'Sheet 2'!$B$2:$B$251</definedName>
    <definedName name="_xlchart.v1.15" hidden="1">'Sheet 2'!$AD$2:$AD$251</definedName>
    <definedName name="_xlchart.v1.16" hidden="1">'Sheet 2'!$AE$1</definedName>
    <definedName name="_xlchart.v1.17" hidden="1">'Sheet 2'!$AE$2:$AE$251</definedName>
    <definedName name="_xlchart.v1.18" hidden="1">'Sheet 2'!$Q$2:$Q$251</definedName>
    <definedName name="_xlchart.v1.19" hidden="1">'Sheet 2'!$R$1</definedName>
    <definedName name="_xlchart.v1.2" hidden="1">'Sheet 2'!$AT$2:$AT$251</definedName>
    <definedName name="_xlchart.v1.20" hidden="1">'Sheet 2'!$R$2:$R$251</definedName>
    <definedName name="_xlchart.v1.21" hidden="1">'Sheet 2'!$AS$2:$AS$251</definedName>
    <definedName name="_xlchart.v1.22" hidden="1">'Sheet 2'!$AT$1</definedName>
    <definedName name="_xlchart.v1.23" hidden="1">'Sheet 2'!$AT$2:$AT$251</definedName>
    <definedName name="_xlchart.v1.3" hidden="1">'Sheet 2'!$Q$2:$Q$251</definedName>
    <definedName name="_xlchart.v1.4" hidden="1">'Sheet 2'!$R$1</definedName>
    <definedName name="_xlchart.v1.5" hidden="1">'Sheet 2'!$R$2:$R$251</definedName>
    <definedName name="_xlchart.v1.6" hidden="1">'Sheet 2'!$A$2:$A$251</definedName>
    <definedName name="_xlchart.v1.7" hidden="1">'Sheet 2'!$B$1</definedName>
    <definedName name="_xlchart.v1.8" hidden="1">'Sheet 2'!$B$2:$B$251</definedName>
    <definedName name="_xlchart.v1.9" hidden="1">'Sheet 2'!$AD$2:$AD$251</definedName>
    <definedName name="ExternalData_1" localSheetId="0" hidden="1">entertainment_preferences_250!$A$1:$K$251</definedName>
    <definedName name="ExternalData_1" localSheetId="3" hidden="1">Sheet3!$A$1:$I$251</definedName>
    <definedName name="Slicer_Age">#N/A</definedName>
    <definedName name="Slicer_Age1">#N/A</definedName>
    <definedName name="Slicer_Favorite_Movie_Genre">#N/A</definedName>
    <definedName name="Slicer_Preferred_Platform">#N/A</definedName>
    <definedName name="Slicer_Preferred_Platform1">#N/A</definedName>
  </definedNames>
  <calcPr calcId="191029"/>
  <pivotCaches>
    <pivotCache cacheId="6"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0" i="8" l="1"/>
  <c r="N20" i="8"/>
  <c r="M20" i="8"/>
  <c r="N19" i="8"/>
  <c r="O19" i="8"/>
  <c r="M19" i="8"/>
  <c r="N18" i="8"/>
  <c r="O18" i="8"/>
  <c r="M18" i="8"/>
  <c r="N17" i="8"/>
  <c r="O17" i="8"/>
  <c r="M17" i="8"/>
  <c r="N16" i="8"/>
  <c r="O16" i="8"/>
  <c r="M16" i="8"/>
  <c r="N15" i="8"/>
  <c r="O15" i="8"/>
  <c r="M15" i="8"/>
  <c r="N14" i="8"/>
  <c r="O14" i="8"/>
  <c r="M14" i="8"/>
  <c r="N13" i="8"/>
  <c r="O13" i="8"/>
  <c r="M13" i="8"/>
  <c r="N12" i="8"/>
  <c r="O12" i="8"/>
  <c r="M12" i="8"/>
  <c r="N11" i="8"/>
  <c r="O11" i="8"/>
  <c r="M11" i="8"/>
  <c r="N10" i="8"/>
  <c r="O10" i="8"/>
  <c r="M10" i="8"/>
  <c r="N9" i="8"/>
  <c r="O9" i="8"/>
  <c r="M9" i="8"/>
  <c r="D102" i="2"/>
  <c r="D176" i="2"/>
  <c r="D177" i="2"/>
  <c r="D21" i="2"/>
  <c r="D22" i="2"/>
  <c r="D23" i="2"/>
  <c r="D24" i="2"/>
  <c r="D178" i="2"/>
  <c r="D103" i="2"/>
  <c r="D104" i="2"/>
  <c r="D105" i="2"/>
  <c r="D25" i="2"/>
  <c r="D179" i="2"/>
  <c r="D106" i="2"/>
  <c r="D26" i="2"/>
  <c r="D107" i="2"/>
  <c r="D180" i="2"/>
  <c r="D108" i="2"/>
  <c r="D181" i="2"/>
  <c r="D27" i="2"/>
  <c r="D109" i="2"/>
  <c r="D28" i="2"/>
  <c r="D29" i="2"/>
  <c r="D110" i="2"/>
  <c r="D30" i="2"/>
  <c r="D31" i="2"/>
  <c r="D182" i="2"/>
  <c r="D183" i="2"/>
  <c r="D111" i="2"/>
  <c r="D112" i="2"/>
  <c r="D184" i="2"/>
  <c r="D32" i="2"/>
  <c r="D185" i="2"/>
  <c r="D113" i="2"/>
  <c r="D114" i="2"/>
  <c r="D186" i="2"/>
  <c r="D33" i="2"/>
  <c r="D2" i="2"/>
  <c r="D115" i="2"/>
  <c r="D116" i="2"/>
  <c r="D187" i="2"/>
  <c r="D188" i="2"/>
  <c r="D3" i="2"/>
  <c r="D117" i="2"/>
  <c r="D189" i="2"/>
  <c r="D118" i="2"/>
  <c r="D34" i="2"/>
  <c r="D35" i="2"/>
  <c r="D119" i="2"/>
  <c r="D36" i="2"/>
  <c r="D120" i="2"/>
  <c r="D37" i="2"/>
  <c r="D38" i="2"/>
  <c r="D121" i="2"/>
  <c r="D122" i="2"/>
  <c r="D190" i="2"/>
  <c r="D123" i="2"/>
  <c r="D124" i="2"/>
  <c r="D191" i="2"/>
  <c r="D192" i="2"/>
  <c r="D193" i="2"/>
  <c r="D194" i="2"/>
  <c r="D125" i="2"/>
  <c r="D195" i="2"/>
  <c r="D126" i="2"/>
  <c r="D127" i="2"/>
  <c r="D39" i="2"/>
  <c r="D128" i="2"/>
  <c r="D196" i="2"/>
  <c r="D129" i="2"/>
  <c r="D197" i="2"/>
  <c r="D40" i="2"/>
  <c r="D130" i="2"/>
  <c r="D198" i="2"/>
  <c r="D4" i="2"/>
  <c r="D199" i="2"/>
  <c r="D5" i="2"/>
  <c r="D41" i="2"/>
  <c r="D6" i="2"/>
  <c r="D131" i="2"/>
  <c r="D200" i="2"/>
  <c r="D201" i="2"/>
  <c r="D132" i="2"/>
  <c r="D202" i="2"/>
  <c r="D133" i="2"/>
  <c r="D134" i="2"/>
  <c r="D42" i="2"/>
  <c r="D203" i="2"/>
  <c r="D204" i="2"/>
  <c r="D135" i="2"/>
  <c r="D43" i="2"/>
  <c r="D205" i="2"/>
  <c r="D136" i="2"/>
  <c r="D137" i="2"/>
  <c r="D138" i="2"/>
  <c r="D206" i="2"/>
  <c r="D44" i="2"/>
  <c r="D45" i="2"/>
  <c r="D46" i="2"/>
  <c r="D47" i="2"/>
  <c r="D48" i="2"/>
  <c r="D49" i="2"/>
  <c r="D207" i="2"/>
  <c r="D50" i="2"/>
  <c r="D139" i="2"/>
  <c r="D51" i="2"/>
  <c r="D52" i="2"/>
  <c r="D53" i="2"/>
  <c r="D140" i="2"/>
  <c r="D141" i="2"/>
  <c r="D54" i="2"/>
  <c r="D55" i="2"/>
  <c r="D208" i="2"/>
  <c r="D209" i="2"/>
  <c r="D210" i="2"/>
  <c r="D142" i="2"/>
  <c r="D211" i="2"/>
  <c r="D56" i="2"/>
  <c r="D57" i="2"/>
  <c r="D212" i="2"/>
  <c r="D58" i="2"/>
  <c r="D213" i="2"/>
  <c r="D214" i="2"/>
  <c r="D59" i="2"/>
  <c r="D143" i="2"/>
  <c r="D60" i="2"/>
  <c r="D215" i="2"/>
  <c r="D216" i="2"/>
  <c r="D144" i="2"/>
  <c r="D145" i="2"/>
  <c r="D217" i="2"/>
  <c r="D7" i="2"/>
  <c r="D218" i="2"/>
  <c r="D146" i="2"/>
  <c r="D219" i="2"/>
  <c r="D220" i="2"/>
  <c r="D61" i="2"/>
  <c r="D62" i="2"/>
  <c r="D221" i="2"/>
  <c r="D147" i="2"/>
  <c r="D148" i="2"/>
  <c r="D63" i="2"/>
  <c r="D64" i="2"/>
  <c r="D65" i="2"/>
  <c r="D149" i="2"/>
  <c r="D150" i="2"/>
  <c r="D66" i="2"/>
  <c r="D67" i="2"/>
  <c r="D222" i="2"/>
  <c r="D151" i="2"/>
  <c r="D68" i="2"/>
  <c r="D8" i="2"/>
  <c r="D223" i="2"/>
  <c r="D69" i="2"/>
  <c r="D224" i="2"/>
  <c r="D152" i="2"/>
  <c r="D153" i="2"/>
  <c r="D70" i="2"/>
  <c r="D225" i="2"/>
  <c r="D226" i="2"/>
  <c r="D154" i="2"/>
  <c r="D71" i="2"/>
  <c r="D155" i="2"/>
  <c r="D227" i="2"/>
  <c r="D156" i="2"/>
  <c r="D228" i="2"/>
  <c r="D72" i="2"/>
  <c r="D9" i="2"/>
  <c r="D229" i="2"/>
  <c r="D73" i="2"/>
  <c r="D230" i="2"/>
  <c r="D231" i="2"/>
  <c r="D74" i="2"/>
  <c r="D10" i="2"/>
  <c r="D157" i="2"/>
  <c r="D75" i="2"/>
  <c r="D158" i="2"/>
  <c r="D76" i="2"/>
  <c r="D159" i="2"/>
  <c r="D232" i="2"/>
  <c r="D160" i="2"/>
  <c r="D77" i="2"/>
  <c r="D233" i="2"/>
  <c r="D11" i="2"/>
  <c r="D78" i="2"/>
  <c r="D79" i="2"/>
  <c r="D234" i="2"/>
  <c r="D235" i="2"/>
  <c r="D80" i="2"/>
  <c r="D12" i="2"/>
  <c r="D236" i="2"/>
  <c r="D81" i="2"/>
  <c r="D82" i="2"/>
  <c r="D237" i="2"/>
  <c r="D83" i="2"/>
  <c r="D13" i="2"/>
  <c r="D161" i="2"/>
  <c r="D14" i="2"/>
  <c r="D84" i="2"/>
  <c r="D85" i="2"/>
  <c r="D86" i="2"/>
  <c r="D162" i="2"/>
  <c r="D163" i="2"/>
  <c r="D238" i="2"/>
  <c r="D87" i="2"/>
  <c r="D88" i="2"/>
  <c r="D239" i="2"/>
  <c r="D89" i="2"/>
  <c r="D240" i="2"/>
  <c r="D90" i="2"/>
  <c r="D164" i="2"/>
  <c r="D15" i="2"/>
  <c r="D16" i="2"/>
  <c r="D165" i="2"/>
  <c r="D241" i="2"/>
  <c r="D91" i="2"/>
  <c r="D92" i="2"/>
  <c r="D17" i="2"/>
  <c r="D93" i="2"/>
  <c r="D166" i="2"/>
  <c r="D94" i="2"/>
  <c r="D95" i="2"/>
  <c r="D242" i="2"/>
  <c r="D18" i="2"/>
  <c r="D167" i="2"/>
  <c r="D243" i="2"/>
  <c r="D244" i="2"/>
  <c r="D168" i="2"/>
  <c r="D245" i="2"/>
  <c r="D169" i="2"/>
  <c r="D96" i="2"/>
  <c r="D246" i="2"/>
  <c r="D19" i="2"/>
  <c r="D247" i="2"/>
  <c r="D170" i="2"/>
  <c r="D97" i="2"/>
  <c r="D98" i="2"/>
  <c r="D248" i="2"/>
  <c r="D171" i="2"/>
  <c r="D99" i="2"/>
  <c r="D172" i="2"/>
  <c r="D173" i="2"/>
  <c r="D174" i="2"/>
  <c r="D100" i="2"/>
  <c r="D249" i="2"/>
  <c r="D101" i="2"/>
  <c r="D250" i="2"/>
  <c r="D20" i="2"/>
  <c r="D175" i="2"/>
  <c r="D25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A2874F-9768-401E-B636-C77CBDC29024}" keepAlive="1" name="Query - entertainment_preferences_250" description="Connection to the 'entertainment_preferences_250' query in the workbook." type="5" refreshedVersion="8" background="1" saveData="1">
    <dbPr connection="Provider=Microsoft.Mashup.OleDb.1;Data Source=$Workbook$;Location=entertainment_preferences_250;Extended Properties=&quot;&quot;" command="SELECT * FROM [entertainment_preferences_250]"/>
  </connection>
  <connection id="2" xr16:uid="{E547A655-A689-42C7-9C3B-1AD65B2EF0CC}" keepAlive="1" name="Query - entertainment_preferences_250 (2)" description="Connection to the 'entertainment_preferences_250 (2)' query in the workbook." type="5" refreshedVersion="8" background="1" saveData="1">
    <dbPr connection="Provider=Microsoft.Mashup.OleDb.1;Data Source=$Workbook$;Location=&quot;entertainment_preferences_250 (2)&quot;;Extended Properties=&quot;&quot;" command="SELECT * FROM [entertainment_preferences_250 (2)]"/>
  </connection>
  <connection id="3" xr16:uid="{E7398F2E-51FC-42F8-AA3F-FF2566280B2E}" keepAlive="1" name="Query - entertainment_preferences_250 (3)" description="Connection to the 'entertainment_preferences_250 (3)' query in the workbook." type="5" refreshedVersion="8" background="1" saveData="1">
    <dbPr connection="Provider=Microsoft.Mashup.OleDb.1;Data Source=$Workbook$;Location=&quot;entertainment_preferences_250 (3)&quot;;Extended Properties=&quot;&quot;" command="SELECT * FROM [entertainment_preferences_250 (3)]"/>
  </connection>
</connections>
</file>

<file path=xl/sharedStrings.xml><?xml version="1.0" encoding="utf-8"?>
<sst xmlns="http://schemas.openxmlformats.org/spreadsheetml/2006/main" count="3657" uniqueCount="107">
  <si>
    <t>User_ID</t>
  </si>
  <si>
    <t>Name</t>
  </si>
  <si>
    <t>Age</t>
  </si>
  <si>
    <t>Gender</t>
  </si>
  <si>
    <t>Favorite_Movie_Genre</t>
  </si>
  <si>
    <t>Favorite_Music_Genre</t>
  </si>
  <si>
    <t>Streaming_Hours_per_Week</t>
  </si>
  <si>
    <t>Monthly_Entertainment_Spend</t>
  </si>
  <si>
    <t>Preferred_Platform</t>
  </si>
  <si>
    <t>Event_Attendance_per_Year</t>
  </si>
  <si>
    <t>Ananya</t>
  </si>
  <si>
    <t>Male</t>
  </si>
  <si>
    <t>Drama</t>
  </si>
  <si>
    <t>Country</t>
  </si>
  <si>
    <t>Hotstar</t>
  </si>
  <si>
    <t>Kritika</t>
  </si>
  <si>
    <t>Female</t>
  </si>
  <si>
    <t>Action</t>
  </si>
  <si>
    <t>Pop</t>
  </si>
  <si>
    <t>Disney+</t>
  </si>
  <si>
    <t>Tara</t>
  </si>
  <si>
    <t>Sci-Fi</t>
  </si>
  <si>
    <t>Rock</t>
  </si>
  <si>
    <t>Amazon Prime</t>
  </si>
  <si>
    <t>Riya</t>
  </si>
  <si>
    <t>Thriller</t>
  </si>
  <si>
    <t>Kabir</t>
  </si>
  <si>
    <t>Comedy</t>
  </si>
  <si>
    <t>Dev</t>
  </si>
  <si>
    <t>Hip-Hop</t>
  </si>
  <si>
    <t>Sony Liv</t>
  </si>
  <si>
    <t>Rohan</t>
  </si>
  <si>
    <t>Fantasy</t>
  </si>
  <si>
    <t>Classical</t>
  </si>
  <si>
    <t>Aarav</t>
  </si>
  <si>
    <t>Horror</t>
  </si>
  <si>
    <t>Netflix</t>
  </si>
  <si>
    <t>Simran</t>
  </si>
  <si>
    <t>Jazz</t>
  </si>
  <si>
    <t>Raj</t>
  </si>
  <si>
    <t>Vihaan</t>
  </si>
  <si>
    <t>EDM</t>
  </si>
  <si>
    <t>Neha</t>
  </si>
  <si>
    <t>Zee5</t>
  </si>
  <si>
    <t>Aditya</t>
  </si>
  <si>
    <t>Kunal</t>
  </si>
  <si>
    <t>Priya</t>
  </si>
  <si>
    <t>Isha</t>
  </si>
  <si>
    <t>Pooja</t>
  </si>
  <si>
    <t>Romance</t>
  </si>
  <si>
    <t>Arjun</t>
  </si>
  <si>
    <t>Sahil</t>
  </si>
  <si>
    <t>Meera</t>
  </si>
  <si>
    <t>Row Labels</t>
  </si>
  <si>
    <t>Grand Total</t>
  </si>
  <si>
    <t>Column Labels</t>
  </si>
  <si>
    <t>10-19</t>
  </si>
  <si>
    <t>20-29</t>
  </si>
  <si>
    <t>30-39</t>
  </si>
  <si>
    <t>40-50</t>
  </si>
  <si>
    <t>Average of Monthly_Entertainment_Spend</t>
  </si>
  <si>
    <t xml:space="preserve"> Streaming_Hours_per_Week</t>
  </si>
  <si>
    <t xml:space="preserve"> Monthly_Entertainment_Spend</t>
  </si>
  <si>
    <t xml:space="preserve"> Event_Attendance_per_Year</t>
  </si>
  <si>
    <t>Count of Favorite_Movie_Genre</t>
  </si>
  <si>
    <t>Count of Gender</t>
  </si>
  <si>
    <t>Movie Genres</t>
  </si>
  <si>
    <t>Age Groups</t>
  </si>
  <si>
    <t>Entertainment Platforms</t>
  </si>
  <si>
    <t>Business Requirement 1: Age Groups and their Entertainment Behavior</t>
  </si>
  <si>
    <t>Business Requirment 2: Gender and their Favorite Movie Genre</t>
  </si>
  <si>
    <t>Business Requirement 3: Gender and their Preferred Platforms</t>
  </si>
  <si>
    <t>Column1</t>
  </si>
  <si>
    <t>Mean</t>
  </si>
  <si>
    <t>median</t>
  </si>
  <si>
    <t>Mode</t>
  </si>
  <si>
    <t>Range</t>
  </si>
  <si>
    <t>Variance</t>
  </si>
  <si>
    <t>Standard Deviation</t>
  </si>
  <si>
    <t>Q1</t>
  </si>
  <si>
    <t>Q3</t>
  </si>
  <si>
    <t>IQR</t>
  </si>
  <si>
    <t>Lower Fence</t>
  </si>
  <si>
    <t>Upper Fence</t>
  </si>
  <si>
    <t>Correlation</t>
  </si>
  <si>
    <t>Age_Groups</t>
  </si>
  <si>
    <t>31-40</t>
  </si>
  <si>
    <t>41-50</t>
  </si>
  <si>
    <t>21-30</t>
  </si>
  <si>
    <t>10-20</t>
  </si>
  <si>
    <t>Business Requirment 5: Average Monthly Entertainment Spend by Age Group</t>
  </si>
  <si>
    <t>Count of Preferred_Platform</t>
  </si>
  <si>
    <t>Sum of Event_Attendance_per_Year</t>
  </si>
  <si>
    <t>Count of Favorite_Music_Genre</t>
  </si>
  <si>
    <t>Descriptive Statistics Representation</t>
  </si>
  <si>
    <t>Business Requirment 6 : Age Group and Their Preferrd Platform</t>
  </si>
  <si>
    <t>Business Requirment 7 : The Count Of Most Preffered Platform</t>
  </si>
  <si>
    <t>Business Requirment 8 : Event Attendance Per-Year By The Age Group</t>
  </si>
  <si>
    <t>Business Requirment 9 : Event Attendance Per-Year By The Gender</t>
  </si>
  <si>
    <t>Business Requirment 10 : Favorite-Music-Genre By The Age Group</t>
  </si>
  <si>
    <t>Business Requirment 11 : Favorite Music_Genre By The Age Group</t>
  </si>
  <si>
    <t>Business Requirment 12 : Count Of Most Preffered Platform By Gender</t>
  </si>
  <si>
    <t>Business Requirement 13 : Monthly Entertainment BY Gender</t>
  </si>
  <si>
    <t>Business Requirement 14: Streaming Hours Per Week</t>
  </si>
  <si>
    <t>Business Requirement 15 : Monthly Entertainment By Age Group</t>
  </si>
  <si>
    <t>Business Requirement 16 : Streaming Hours Per Week By Age Group</t>
  </si>
  <si>
    <t>Business Requirment 4: Age Groups and their Monthly Entertainment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</si>
</sst>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7" x14ac:knownFonts="1">
    <font>
      <sz val="11"/>
      <color theme="1"/>
      <name val="Aptos Narrow"/>
      <family val="2"/>
      <scheme val="minor"/>
    </font>
    <font>
      <sz val="20"/>
      <color theme="1"/>
      <name val="Aptos Narrow"/>
      <family val="2"/>
      <scheme val="minor"/>
    </font>
    <font>
      <b/>
      <sz val="20"/>
      <color theme="1"/>
      <name val="Aptos Narrow"/>
      <family val="2"/>
      <scheme val="minor"/>
    </font>
    <font>
      <b/>
      <sz val="11"/>
      <color theme="0"/>
      <name val="Aptos Narrow"/>
      <family val="2"/>
      <scheme val="minor"/>
    </font>
    <font>
      <b/>
      <sz val="11"/>
      <color theme="1"/>
      <name val="Aptos Narrow"/>
      <family val="2"/>
      <scheme val="minor"/>
    </font>
    <font>
      <b/>
      <sz val="24"/>
      <color theme="1"/>
      <name val="Aptos Narrow"/>
      <family val="2"/>
      <scheme val="minor"/>
    </font>
    <font>
      <b/>
      <sz val="28"/>
      <color theme="1"/>
      <name val="Aptos Narrow"/>
      <family val="2"/>
      <scheme val="minor"/>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tint="0.79998168889431442"/>
        <bgColor theme="4" tint="0.79998168889431442"/>
      </patternFill>
    </fill>
  </fills>
  <borders count="8">
    <border>
      <left/>
      <right/>
      <top/>
      <bottom/>
      <diagonal/>
    </border>
    <border>
      <left/>
      <right/>
      <top style="thin">
        <color theme="9" tint="0.39997558519241921"/>
      </top>
      <bottom style="thin">
        <color theme="9" tint="0.39997558519241921"/>
      </bottom>
      <diagonal/>
    </border>
    <border>
      <left style="medium">
        <color indexed="64"/>
      </left>
      <right/>
      <top style="medium">
        <color indexed="64"/>
      </top>
      <bottom style="thin">
        <color theme="4" tint="0.39997558519241921"/>
      </bottom>
      <diagonal/>
    </border>
    <border>
      <left/>
      <right style="medium">
        <color indexed="64"/>
      </right>
      <top style="medium">
        <color indexed="64"/>
      </top>
      <bottom style="thin">
        <color theme="4" tint="0.3999755851924192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0">
    <xf numFmtId="0" fontId="0" fillId="0" borderId="0" xfId="0"/>
    <xf numFmtId="0" fontId="0" fillId="0" borderId="0" xfId="0" pivotButton="1"/>
    <xf numFmtId="0" fontId="0" fillId="0" borderId="0" xfId="0" applyAlignment="1">
      <alignment horizontal="left"/>
    </xf>
    <xf numFmtId="164" fontId="0" fillId="0" borderId="0" xfId="0" applyNumberFormat="1"/>
    <xf numFmtId="0" fontId="1" fillId="0" borderId="0" xfId="0" applyFont="1"/>
    <xf numFmtId="0" fontId="2" fillId="0" borderId="0" xfId="0" applyFont="1"/>
    <xf numFmtId="0" fontId="3" fillId="2" borderId="1" xfId="0" applyFont="1" applyFill="1" applyBorder="1"/>
    <xf numFmtId="0" fontId="0" fillId="3" borderId="1" xfId="0" applyFill="1" applyBorder="1"/>
    <xf numFmtId="0" fontId="0" fillId="0" borderId="1" xfId="0" applyBorder="1"/>
    <xf numFmtId="2" fontId="0" fillId="0" borderId="0" xfId="0" applyNumberFormat="1"/>
    <xf numFmtId="0" fontId="4" fillId="4" borderId="2" xfId="0" applyFont="1" applyFill="1" applyBorder="1"/>
    <xf numFmtId="0" fontId="4" fillId="4" borderId="3" xfId="0" applyFont="1" applyFill="1" applyBorder="1"/>
    <xf numFmtId="0" fontId="0" fillId="0" borderId="4" xfId="0" applyBorder="1" applyAlignment="1">
      <alignment horizontal="left"/>
    </xf>
    <xf numFmtId="0" fontId="0" fillId="0" borderId="5" xfId="0" applyBorder="1"/>
    <xf numFmtId="0" fontId="0" fillId="0" borderId="6" xfId="0" applyBorder="1" applyAlignment="1">
      <alignment horizontal="left"/>
    </xf>
    <xf numFmtId="0" fontId="0" fillId="0" borderId="7" xfId="0" applyBorder="1"/>
    <xf numFmtId="0" fontId="4" fillId="0" borderId="0" xfId="0" applyFont="1"/>
    <xf numFmtId="0" fontId="6" fillId="0" borderId="0" xfId="0" applyFont="1"/>
    <xf numFmtId="0" fontId="5" fillId="0" borderId="0" xfId="0" applyFont="1"/>
    <xf numFmtId="0" fontId="4" fillId="0" borderId="5" xfId="0" applyFont="1" applyBorder="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9.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0.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1.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2.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3.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5.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6.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7.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8.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[Entartaintment Preferences Presentation.xlsx]Sheet1!PivotTable11</c:name>
    <c:fmtId val="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Sheet1!$B$17:$B$18</c:f>
              <c:strCache>
                <c:ptCount val="1"/>
                <c:pt idx="0">
                  <c:v>Female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Sheet1!$A$19:$A$20</c:f>
              <c:strCache>
                <c:ptCount val="1"/>
                <c:pt idx="0">
                  <c:v>Horror</c:v>
                </c:pt>
              </c:strCache>
            </c:strRef>
          </c:cat>
          <c:val>
            <c:numRef>
              <c:f>Sheet1!$B$19:$B$20</c:f>
              <c:numCache>
                <c:formatCode>General</c:formatCode>
                <c:ptCount val="1"/>
                <c:pt idx="0">
                  <c:v>21</c:v>
                </c:pt>
              </c:numCache>
            </c:numRef>
          </c:val>
          <c:extLst>
            <c:ext xmlns:c16="http://schemas.microsoft.com/office/drawing/2014/chart" uri="{C3380CC4-5D6E-409C-BE32-E72D297353CC}">
              <c16:uniqueId val="{00000000-2734-4CC4-9053-8DCD70D62837}"/>
            </c:ext>
          </c:extLst>
        </c:ser>
        <c:ser>
          <c:idx val="1"/>
          <c:order val="1"/>
          <c:tx>
            <c:strRef>
              <c:f>Sheet1!$C$17:$C$18</c:f>
              <c:strCache>
                <c:ptCount val="1"/>
                <c:pt idx="0">
                  <c:v>Male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Sheet1!$A$19:$A$20</c:f>
              <c:strCache>
                <c:ptCount val="1"/>
                <c:pt idx="0">
                  <c:v>Horror</c:v>
                </c:pt>
              </c:strCache>
            </c:strRef>
          </c:cat>
          <c:val>
            <c:numRef>
              <c:f>Sheet1!$C$19:$C$20</c:f>
              <c:numCache>
                <c:formatCode>General</c:formatCode>
                <c:ptCount val="1"/>
                <c:pt idx="0">
                  <c:v>12</c:v>
                </c:pt>
              </c:numCache>
            </c:numRef>
          </c:val>
          <c:extLst>
            <c:ext xmlns:c16="http://schemas.microsoft.com/office/drawing/2014/chart" uri="{C3380CC4-5D6E-409C-BE32-E72D297353CC}">
              <c16:uniqueId val="{00000001-2734-4CC4-9053-8DCD70D62837}"/>
            </c:ext>
          </c:extLst>
        </c:ser>
        <c:dLbls>
          <c:dLblPos val="ctr"/>
          <c:showLegendKey val="0"/>
          <c:showVal val="1"/>
          <c:showCatName val="0"/>
          <c:showSerName val="0"/>
          <c:showPercent val="0"/>
          <c:showBubbleSize val="0"/>
        </c:dLbls>
        <c:gapWidth val="150"/>
        <c:overlap val="100"/>
        <c:axId val="1426701935"/>
        <c:axId val="1426700975"/>
      </c:barChart>
      <c:catAx>
        <c:axId val="14267019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6700975"/>
        <c:crosses val="autoZero"/>
        <c:auto val="1"/>
        <c:lblAlgn val="ctr"/>
        <c:lblOffset val="100"/>
        <c:noMultiLvlLbl val="0"/>
      </c:catAx>
      <c:valAx>
        <c:axId val="1426700975"/>
        <c:scaling>
          <c:orientation val="minMax"/>
        </c:scaling>
        <c:delete val="1"/>
        <c:axPos val="l"/>
        <c:numFmt formatCode="0%" sourceLinked="1"/>
        <c:majorTickMark val="none"/>
        <c:minorTickMark val="none"/>
        <c:tickLblPos val="nextTo"/>
        <c:crossAx val="14267019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[Entartaintment Preferences Presentation.xlsx]Sheet1!PivotTable12</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Sheet1!$B$49:$B$50</c:f>
              <c:strCache>
                <c:ptCount val="1"/>
                <c:pt idx="0">
                  <c:v>Female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Sheet1!$A$51:$A$57</c:f>
              <c:strCache>
                <c:ptCount val="6"/>
                <c:pt idx="0">
                  <c:v>Amazon Prime</c:v>
                </c:pt>
                <c:pt idx="1">
                  <c:v>Disney+</c:v>
                </c:pt>
                <c:pt idx="2">
                  <c:v>Hotstar</c:v>
                </c:pt>
                <c:pt idx="3">
                  <c:v>Netflix</c:v>
                </c:pt>
                <c:pt idx="4">
                  <c:v>Sony Liv</c:v>
                </c:pt>
                <c:pt idx="5">
                  <c:v>Zee5</c:v>
                </c:pt>
              </c:strCache>
            </c:strRef>
          </c:cat>
          <c:val>
            <c:numRef>
              <c:f>Sheet1!$B$51:$B$57</c:f>
              <c:numCache>
                <c:formatCode>General</c:formatCode>
                <c:ptCount val="6"/>
                <c:pt idx="0">
                  <c:v>18</c:v>
                </c:pt>
                <c:pt idx="1">
                  <c:v>29</c:v>
                </c:pt>
                <c:pt idx="2">
                  <c:v>30</c:v>
                </c:pt>
                <c:pt idx="3">
                  <c:v>13</c:v>
                </c:pt>
                <c:pt idx="4">
                  <c:v>20</c:v>
                </c:pt>
                <c:pt idx="5">
                  <c:v>20</c:v>
                </c:pt>
              </c:numCache>
            </c:numRef>
          </c:val>
          <c:extLst>
            <c:ext xmlns:c16="http://schemas.microsoft.com/office/drawing/2014/chart" uri="{C3380CC4-5D6E-409C-BE32-E72D297353CC}">
              <c16:uniqueId val="{00000000-CE7A-4CFA-BAA2-B6D38F0CC50D}"/>
            </c:ext>
          </c:extLst>
        </c:ser>
        <c:ser>
          <c:idx val="1"/>
          <c:order val="1"/>
          <c:tx>
            <c:strRef>
              <c:f>Sheet1!$C$49:$C$50</c:f>
              <c:strCache>
                <c:ptCount val="1"/>
                <c:pt idx="0">
                  <c:v>Male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Sheet1!$A$51:$A$57</c:f>
              <c:strCache>
                <c:ptCount val="6"/>
                <c:pt idx="0">
                  <c:v>Amazon Prime</c:v>
                </c:pt>
                <c:pt idx="1">
                  <c:v>Disney+</c:v>
                </c:pt>
                <c:pt idx="2">
                  <c:v>Hotstar</c:v>
                </c:pt>
                <c:pt idx="3">
                  <c:v>Netflix</c:v>
                </c:pt>
                <c:pt idx="4">
                  <c:v>Sony Liv</c:v>
                </c:pt>
                <c:pt idx="5">
                  <c:v>Zee5</c:v>
                </c:pt>
              </c:strCache>
            </c:strRef>
          </c:cat>
          <c:val>
            <c:numRef>
              <c:f>Sheet1!$C$51:$C$57</c:f>
              <c:numCache>
                <c:formatCode>General</c:formatCode>
                <c:ptCount val="6"/>
                <c:pt idx="0">
                  <c:v>16</c:v>
                </c:pt>
                <c:pt idx="1">
                  <c:v>17</c:v>
                </c:pt>
                <c:pt idx="2">
                  <c:v>19</c:v>
                </c:pt>
                <c:pt idx="3">
                  <c:v>16</c:v>
                </c:pt>
                <c:pt idx="4">
                  <c:v>25</c:v>
                </c:pt>
                <c:pt idx="5">
                  <c:v>27</c:v>
                </c:pt>
              </c:numCache>
            </c:numRef>
          </c:val>
          <c:extLst>
            <c:ext xmlns:c16="http://schemas.microsoft.com/office/drawing/2014/chart" uri="{C3380CC4-5D6E-409C-BE32-E72D297353CC}">
              <c16:uniqueId val="{00000001-CE7A-4CFA-BAA2-B6D38F0CC50D}"/>
            </c:ext>
          </c:extLst>
        </c:ser>
        <c:dLbls>
          <c:dLblPos val="ctr"/>
          <c:showLegendKey val="0"/>
          <c:showVal val="1"/>
          <c:showCatName val="0"/>
          <c:showSerName val="0"/>
          <c:showPercent val="0"/>
          <c:showBubbleSize val="0"/>
        </c:dLbls>
        <c:gapWidth val="150"/>
        <c:overlap val="100"/>
        <c:axId val="1525950191"/>
        <c:axId val="1525950671"/>
      </c:barChart>
      <c:catAx>
        <c:axId val="15259501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25950671"/>
        <c:crosses val="autoZero"/>
        <c:auto val="1"/>
        <c:lblAlgn val="ctr"/>
        <c:lblOffset val="100"/>
        <c:noMultiLvlLbl val="0"/>
      </c:catAx>
      <c:valAx>
        <c:axId val="1525950671"/>
        <c:scaling>
          <c:orientation val="minMax"/>
        </c:scaling>
        <c:delete val="1"/>
        <c:axPos val="b"/>
        <c:numFmt formatCode="0%" sourceLinked="1"/>
        <c:majorTickMark val="none"/>
        <c:minorTickMark val="none"/>
        <c:tickLblPos val="nextTo"/>
        <c:crossAx val="152595019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[Entartaintment Preferences Presentation.xlsx]Sheet1!PivotTable13</c:name>
    <c:fmtId val="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Sheet1!$B$91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strRef>
              <c:f>Sheet1!$A$92:$A$96</c:f>
              <c:strCache>
                <c:ptCount val="4"/>
                <c:pt idx="0">
                  <c:v>10-19</c:v>
                </c:pt>
                <c:pt idx="1">
                  <c:v>20-29</c:v>
                </c:pt>
                <c:pt idx="2">
                  <c:v>30-39</c:v>
                </c:pt>
                <c:pt idx="3">
                  <c:v>40-50</c:v>
                </c:pt>
              </c:strCache>
            </c:strRef>
          </c:cat>
          <c:val>
            <c:numRef>
              <c:f>Sheet1!$B$92:$B$96</c:f>
              <c:numCache>
                <c:formatCode>"$"#,##0.00</c:formatCode>
                <c:ptCount val="4"/>
                <c:pt idx="0">
                  <c:v>19660</c:v>
                </c:pt>
                <c:pt idx="1">
                  <c:v>123580</c:v>
                </c:pt>
                <c:pt idx="2">
                  <c:v>126330</c:v>
                </c:pt>
                <c:pt idx="3">
                  <c:v>147597</c:v>
                </c:pt>
              </c:numCache>
            </c:numRef>
          </c:val>
          <c:extLst>
            <c:ext xmlns:c16="http://schemas.microsoft.com/office/drawing/2014/chart" uri="{C3380CC4-5D6E-409C-BE32-E72D297353CC}">
              <c16:uniqueId val="{00000000-082E-44A5-A879-76F7E82D9E02}"/>
            </c:ext>
          </c:extLst>
        </c:ser>
        <c:dLbls>
          <c:dLblPos val="inEnd"/>
          <c:showLegendKey val="0"/>
          <c:showVal val="1"/>
          <c:showCatName val="0"/>
          <c:showSerName val="0"/>
          <c:showPercent val="0"/>
          <c:showBubbleSize val="0"/>
        </c:dLbls>
        <c:gapWidth val="65"/>
        <c:axId val="1390383071"/>
        <c:axId val="1390370591"/>
      </c:barChart>
      <c:catAx>
        <c:axId val="13903830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90370591"/>
        <c:crosses val="autoZero"/>
        <c:auto val="1"/>
        <c:lblAlgn val="ctr"/>
        <c:lblOffset val="100"/>
        <c:noMultiLvlLbl val="0"/>
      </c:catAx>
      <c:valAx>
        <c:axId val="1390370591"/>
        <c:scaling>
          <c:orientation val="minMax"/>
        </c:scaling>
        <c:delete val="1"/>
        <c:axPos val="l"/>
        <c:numFmt formatCode="&quot;$&quot;#,##0.00" sourceLinked="1"/>
        <c:majorTickMark val="none"/>
        <c:minorTickMark val="none"/>
        <c:tickLblPos val="nextTo"/>
        <c:crossAx val="139038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[Entartaintment Preferences Presentation.xlsx]Sheet1!PivotTable14</c:name>
    <c:fmtId val="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Sheet1!$B$128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Sheet1!$A$129:$A$133</c:f>
              <c:strCache>
                <c:ptCount val="4"/>
                <c:pt idx="0">
                  <c:v>10-19</c:v>
                </c:pt>
                <c:pt idx="1">
                  <c:v>20-29</c:v>
                </c:pt>
                <c:pt idx="2">
                  <c:v>30-39</c:v>
                </c:pt>
                <c:pt idx="3">
                  <c:v>40-50</c:v>
                </c:pt>
              </c:strCache>
            </c:strRef>
          </c:cat>
          <c:val>
            <c:numRef>
              <c:f>Sheet1!$B$129:$B$133</c:f>
              <c:numCache>
                <c:formatCode>General</c:formatCode>
                <c:ptCount val="4"/>
                <c:pt idx="0">
                  <c:v>1638.3333333333333</c:v>
                </c:pt>
                <c:pt idx="1">
                  <c:v>1584.3589743589744</c:v>
                </c:pt>
                <c:pt idx="2">
                  <c:v>1640.6493506493507</c:v>
                </c:pt>
                <c:pt idx="3">
                  <c:v>1778.2771084337348</c:v>
                </c:pt>
              </c:numCache>
            </c:numRef>
          </c:val>
          <c:extLst>
            <c:ext xmlns:c16="http://schemas.microsoft.com/office/drawing/2014/chart" uri="{C3380CC4-5D6E-409C-BE32-E72D297353CC}">
              <c16:uniqueId val="{00000000-2555-419E-AE3E-4EFC008700E7}"/>
            </c:ext>
          </c:extLst>
        </c:ser>
        <c:dLbls>
          <c:dLblPos val="inEnd"/>
          <c:showLegendKey val="0"/>
          <c:showVal val="1"/>
          <c:showCatName val="0"/>
          <c:showSerName val="0"/>
          <c:showPercent val="0"/>
          <c:showBubbleSize val="0"/>
        </c:dLbls>
        <c:gapWidth val="65"/>
        <c:axId val="526612927"/>
        <c:axId val="526596607"/>
      </c:barChart>
      <c:catAx>
        <c:axId val="5266129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26596607"/>
        <c:crosses val="autoZero"/>
        <c:auto val="1"/>
        <c:lblAlgn val="ctr"/>
        <c:lblOffset val="100"/>
        <c:noMultiLvlLbl val="0"/>
      </c:catAx>
      <c:valAx>
        <c:axId val="526596607"/>
        <c:scaling>
          <c:orientation val="minMax"/>
        </c:scaling>
        <c:delete val="1"/>
        <c:axPos val="l"/>
        <c:numFmt formatCode="General" sourceLinked="1"/>
        <c:majorTickMark val="none"/>
        <c:minorTickMark val="none"/>
        <c:tickLblPos val="nextTo"/>
        <c:crossAx val="5266129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[Entartaintment Preferences Presentation.xlsx]Sheet1!PivotTable4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Sheet1!$B$4</c:f>
              <c:strCache>
                <c:ptCount val="1"/>
                <c:pt idx="0">
                  <c:v> Streaming_Hours_per_Week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Sheet1!$A$5:$A$6</c:f>
              <c:strCache>
                <c:ptCount val="1"/>
                <c:pt idx="0">
                  <c:v>20-29</c:v>
                </c:pt>
              </c:strCache>
            </c:strRef>
          </c:cat>
          <c:val>
            <c:numRef>
              <c:f>Sheet1!$B$5:$B$6</c:f>
              <c:numCache>
                <c:formatCode>General</c:formatCode>
                <c:ptCount val="1"/>
                <c:pt idx="0">
                  <c:v>18.128205128205128</c:v>
                </c:pt>
              </c:numCache>
            </c:numRef>
          </c:val>
          <c:extLst>
            <c:ext xmlns:c16="http://schemas.microsoft.com/office/drawing/2014/chart" uri="{C3380CC4-5D6E-409C-BE32-E72D297353CC}">
              <c16:uniqueId val="{00000000-58FE-438F-BE83-29B1D9F1A276}"/>
            </c:ext>
          </c:extLst>
        </c:ser>
        <c:ser>
          <c:idx val="1"/>
          <c:order val="1"/>
          <c:tx>
            <c:strRef>
              <c:f>Sheet1!$C$4</c:f>
              <c:strCache>
                <c:ptCount val="1"/>
                <c:pt idx="0">
                  <c:v> Monthly_Entertainment_Spend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Sheet1!$A$5:$A$6</c:f>
              <c:strCache>
                <c:ptCount val="1"/>
                <c:pt idx="0">
                  <c:v>20-29</c:v>
                </c:pt>
              </c:strCache>
            </c:strRef>
          </c:cat>
          <c:val>
            <c:numRef>
              <c:f>Sheet1!$C$5:$C$6</c:f>
              <c:numCache>
                <c:formatCode>General</c:formatCode>
                <c:ptCount val="1"/>
                <c:pt idx="0">
                  <c:v>1584.3589743589744</c:v>
                </c:pt>
              </c:numCache>
            </c:numRef>
          </c:val>
          <c:extLst>
            <c:ext xmlns:c16="http://schemas.microsoft.com/office/drawing/2014/chart" uri="{C3380CC4-5D6E-409C-BE32-E72D297353CC}">
              <c16:uniqueId val="{00000001-58FE-438F-BE83-29B1D9F1A276}"/>
            </c:ext>
          </c:extLst>
        </c:ser>
        <c:ser>
          <c:idx val="2"/>
          <c:order val="2"/>
          <c:tx>
            <c:strRef>
              <c:f>Sheet1!$D$4</c:f>
              <c:strCache>
                <c:ptCount val="1"/>
                <c:pt idx="0">
                  <c:v> Event_Attendance_per_Year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Sheet1!$A$5:$A$6</c:f>
              <c:strCache>
                <c:ptCount val="1"/>
                <c:pt idx="0">
                  <c:v>20-29</c:v>
                </c:pt>
              </c:strCache>
            </c:strRef>
          </c:cat>
          <c:val>
            <c:numRef>
              <c:f>Sheet1!$D$5:$D$6</c:f>
              <c:numCache>
                <c:formatCode>General</c:formatCode>
                <c:ptCount val="1"/>
                <c:pt idx="0">
                  <c:v>5.4871794871794872</c:v>
                </c:pt>
              </c:numCache>
            </c:numRef>
          </c:val>
          <c:extLst>
            <c:ext xmlns:c16="http://schemas.microsoft.com/office/drawing/2014/chart" uri="{C3380CC4-5D6E-409C-BE32-E72D297353CC}">
              <c16:uniqueId val="{00000002-58FE-438F-BE83-29B1D9F1A276}"/>
            </c:ext>
          </c:extLst>
        </c:ser>
        <c:dLbls>
          <c:dLblPos val="outEnd"/>
          <c:showLegendKey val="0"/>
          <c:showVal val="1"/>
          <c:showCatName val="0"/>
          <c:showSerName val="0"/>
          <c:showPercent val="0"/>
          <c:showBubbleSize val="0"/>
        </c:dLbls>
        <c:gapWidth val="182"/>
        <c:axId val="1989590719"/>
        <c:axId val="1989589279"/>
      </c:barChart>
      <c:catAx>
        <c:axId val="19895907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89279"/>
        <c:crosses val="autoZero"/>
        <c:auto val="1"/>
        <c:lblAlgn val="ctr"/>
        <c:lblOffset val="100"/>
        <c:noMultiLvlLbl val="0"/>
      </c:catAx>
      <c:valAx>
        <c:axId val="1989589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9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[Entartaintment Preferences Presentation.xlsx]Sheet1!PivotTable17</c:name>
    <c:fmtId val="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pivotFmt>
      <c:pivotFmt>
        <c:idx val="6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Sheet1!$B$165:$B$166</c:f>
              <c:strCache>
                <c:ptCount val="1"/>
                <c:pt idx="0">
                  <c:v>Sony Liv</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901-4F5E-8246-0CF4EC150FA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901-4F5E-8246-0CF4EC150FA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901-4F5E-8246-0CF4EC150FA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901-4F5E-8246-0CF4EC150FA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Sheet1!$A$167:$A$171</c:f>
              <c:strCache>
                <c:ptCount val="4"/>
                <c:pt idx="0">
                  <c:v>10-19</c:v>
                </c:pt>
                <c:pt idx="1">
                  <c:v>20-29</c:v>
                </c:pt>
                <c:pt idx="2">
                  <c:v>30-39</c:v>
                </c:pt>
                <c:pt idx="3">
                  <c:v>40-50</c:v>
                </c:pt>
              </c:strCache>
            </c:strRef>
          </c:cat>
          <c:val>
            <c:numRef>
              <c:f>Sheet1!$B$167:$B$171</c:f>
              <c:numCache>
                <c:formatCode>General</c:formatCode>
                <c:ptCount val="4"/>
                <c:pt idx="0">
                  <c:v>1</c:v>
                </c:pt>
                <c:pt idx="1">
                  <c:v>16</c:v>
                </c:pt>
                <c:pt idx="2">
                  <c:v>10</c:v>
                </c:pt>
                <c:pt idx="3">
                  <c:v>18</c:v>
                </c:pt>
              </c:numCache>
            </c:numRef>
          </c:val>
          <c:extLst>
            <c:ext xmlns:c16="http://schemas.microsoft.com/office/drawing/2014/chart" uri="{C3380CC4-5D6E-409C-BE32-E72D297353CC}">
              <c16:uniqueId val="{00000008-1901-4F5E-8246-0CF4EC150FAE}"/>
            </c:ext>
          </c:extLst>
        </c:ser>
        <c:dLbls>
          <c:dLblPos val="outEnd"/>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Sheet1!$B$198</c:f>
              <c:strCache>
                <c:ptCount val="1"/>
                <c:pt idx="0">
                  <c:v>Count of Preferred_Platform</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3F9-4AFF-9EFC-521AB73A8A5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3F9-4AFF-9EFC-521AB73A8A5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3F9-4AFF-9EFC-521AB73A8A5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3F9-4AFF-9EFC-521AB73A8A5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3F9-4AFF-9EFC-521AB73A8A5B}"/>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3F9-4AFF-9EFC-521AB73A8A5B}"/>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Sheet1!$A$199:$A$204</c:f>
              <c:strCache>
                <c:ptCount val="6"/>
                <c:pt idx="0">
                  <c:v>Amazon Prime</c:v>
                </c:pt>
                <c:pt idx="1">
                  <c:v>Disney+</c:v>
                </c:pt>
                <c:pt idx="2">
                  <c:v>Hotstar</c:v>
                </c:pt>
                <c:pt idx="3">
                  <c:v>Netflix</c:v>
                </c:pt>
                <c:pt idx="4">
                  <c:v>Sony Liv</c:v>
                </c:pt>
                <c:pt idx="5">
                  <c:v>Zee5</c:v>
                </c:pt>
              </c:strCache>
            </c:strRef>
          </c:cat>
          <c:val>
            <c:numRef>
              <c:f>Sheet1!$B$199:$B$204</c:f>
              <c:numCache>
                <c:formatCode>General</c:formatCode>
                <c:ptCount val="6"/>
                <c:pt idx="0">
                  <c:v>34</c:v>
                </c:pt>
                <c:pt idx="1">
                  <c:v>46</c:v>
                </c:pt>
                <c:pt idx="2">
                  <c:v>49</c:v>
                </c:pt>
                <c:pt idx="3">
                  <c:v>29</c:v>
                </c:pt>
                <c:pt idx="4">
                  <c:v>45</c:v>
                </c:pt>
                <c:pt idx="5">
                  <c:v>47</c:v>
                </c:pt>
              </c:numCache>
            </c:numRef>
          </c:val>
          <c:extLst>
            <c:ext xmlns:c16="http://schemas.microsoft.com/office/drawing/2014/chart" uri="{C3380CC4-5D6E-409C-BE32-E72D297353CC}">
              <c16:uniqueId val="{0000000C-23F9-4AFF-9EFC-521AB73A8A5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[Entartaintment Preferences Presentation.xlsx]Sheet1!PivotTable23</c:name>
    <c:fmtId val="17"/>
  </c:pivotSource>
  <c:chart>
    <c:autoTitleDeleted val="1"/>
    <c:pivotFmts>
      <c:pivotFmt>
        <c:idx val="0"/>
        <c:spPr>
          <a:solidFill>
            <a:schemeClr val="accent1">
              <a:alpha val="85000"/>
            </a:schemeClr>
          </a:solidFill>
          <a:ln w="31750" cap="rnd" cmpd="sng" algn="ctr">
            <a:solidFill>
              <a:schemeClr val="accent1"/>
            </a:solidFill>
            <a:round/>
          </a:ln>
          <a:effectLst/>
        </c:spPr>
        <c:marker>
          <c:symbol val="diamond"/>
          <c:size val="22"/>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diamond"/>
          <c:size val="22"/>
          <c:spPr>
            <a:solidFill>
              <a:schemeClr val="accent1"/>
            </a:solidFill>
            <a:ln>
              <a:noFill/>
            </a:ln>
            <a:effectLst/>
          </c:spPr>
        </c:marker>
      </c:pivotFmt>
      <c:pivotFmt>
        <c:idx val="2"/>
        <c:spPr>
          <a:solidFill>
            <a:schemeClr val="accent1">
              <a:alpha val="85000"/>
            </a:schemeClr>
          </a:solidFill>
          <a:ln w="31750" cap="rnd" cmpd="sng" algn="ctr">
            <a:solidFill>
              <a:schemeClr val="accent1"/>
            </a:solidFill>
            <a:round/>
          </a:ln>
          <a:effectLst/>
        </c:spPr>
        <c:marker>
          <c:symbol val="diamond"/>
          <c:size val="22"/>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diamond"/>
          <c:size val="22"/>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Sheet1!$B$227</c:f>
              <c:strCache>
                <c:ptCount val="1"/>
                <c:pt idx="0">
                  <c:v>Total</c:v>
                </c:pt>
              </c:strCache>
            </c:strRef>
          </c:tx>
          <c:spPr>
            <a:ln w="31750" cap="rnd">
              <a:solidFill>
                <a:schemeClr val="accent1"/>
              </a:solidFill>
              <a:round/>
            </a:ln>
            <a:effectLst/>
          </c:spPr>
          <c:marker>
            <c:symbol val="diamond"/>
            <c:size val="22"/>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Sheet1!$A$228:$A$232</c:f>
              <c:strCache>
                <c:ptCount val="4"/>
                <c:pt idx="0">
                  <c:v>10-19</c:v>
                </c:pt>
                <c:pt idx="1">
                  <c:v>20-29</c:v>
                </c:pt>
                <c:pt idx="2">
                  <c:v>30-39</c:v>
                </c:pt>
                <c:pt idx="3">
                  <c:v>40-50</c:v>
                </c:pt>
              </c:strCache>
            </c:strRef>
          </c:cat>
          <c:val>
            <c:numRef>
              <c:f>Sheet1!$B$228:$B$232</c:f>
              <c:numCache>
                <c:formatCode>General</c:formatCode>
                <c:ptCount val="4"/>
                <c:pt idx="0">
                  <c:v>43</c:v>
                </c:pt>
                <c:pt idx="1">
                  <c:v>428</c:v>
                </c:pt>
                <c:pt idx="2">
                  <c:v>338</c:v>
                </c:pt>
                <c:pt idx="3">
                  <c:v>471</c:v>
                </c:pt>
              </c:numCache>
            </c:numRef>
          </c:val>
          <c:smooth val="0"/>
          <c:extLst>
            <c:ext xmlns:c16="http://schemas.microsoft.com/office/drawing/2014/chart" uri="{C3380CC4-5D6E-409C-BE32-E72D297353CC}">
              <c16:uniqueId val="{00000000-B4A1-451A-95E4-51CB5B8B8743}"/>
            </c:ext>
          </c:extLst>
        </c:ser>
        <c:dLbls>
          <c:dLblPos val="ctr"/>
          <c:showLegendKey val="0"/>
          <c:showVal val="1"/>
          <c:showCatName val="0"/>
          <c:showSerName val="0"/>
          <c:showPercent val="0"/>
          <c:showBubbleSize val="0"/>
        </c:dLbls>
        <c:marker val="1"/>
        <c:smooth val="0"/>
        <c:axId val="166442336"/>
        <c:axId val="166446656"/>
      </c:lineChart>
      <c:catAx>
        <c:axId val="1664423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6446656"/>
        <c:crosses val="autoZero"/>
        <c:auto val="1"/>
        <c:lblAlgn val="ctr"/>
        <c:lblOffset val="100"/>
        <c:noMultiLvlLbl val="0"/>
      </c:catAx>
      <c:valAx>
        <c:axId val="166446656"/>
        <c:scaling>
          <c:orientation val="minMax"/>
        </c:scaling>
        <c:delete val="1"/>
        <c:axPos val="l"/>
        <c:numFmt formatCode="General" sourceLinked="1"/>
        <c:majorTickMark val="none"/>
        <c:minorTickMark val="none"/>
        <c:tickLblPos val="nextTo"/>
        <c:crossAx val="16644233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[Entartaintment Preferences Presentation.xlsx]Sheet1!PivotTable24</c:name>
    <c:fmtId val="1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Sheet1!$B$256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7FF-48BC-BBCB-54EE2189A79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7FF-48BC-BBCB-54EE2189A79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Sheet1!$A$257:$A$259</c:f>
              <c:strCache>
                <c:ptCount val="2"/>
                <c:pt idx="0">
                  <c:v>Female</c:v>
                </c:pt>
                <c:pt idx="1">
                  <c:v>Male</c:v>
                </c:pt>
              </c:strCache>
            </c:strRef>
          </c:cat>
          <c:val>
            <c:numRef>
              <c:f>Sheet1!$B$257:$B$259</c:f>
              <c:numCache>
                <c:formatCode>General</c:formatCode>
                <c:ptCount val="2"/>
                <c:pt idx="0">
                  <c:v>659</c:v>
                </c:pt>
                <c:pt idx="1">
                  <c:v>621</c:v>
                </c:pt>
              </c:numCache>
            </c:numRef>
          </c:val>
          <c:extLst>
            <c:ext xmlns:c16="http://schemas.microsoft.com/office/drawing/2014/chart" uri="{C3380CC4-5D6E-409C-BE32-E72D297353CC}">
              <c16:uniqueId val="{00000004-37FF-48BC-BBCB-54EE2189A799}"/>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[Entartaintment Preferences Presentation.xlsx]Sheet1!PivotTable28</c:name>
    <c:fmtId val="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Sheet1!$B$316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9BD-4B09-8F1C-16FFF31A5EF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9BD-4B09-8F1C-16FFF31A5EF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Sheet1!$A$317:$A$319</c:f>
              <c:strCache>
                <c:ptCount val="2"/>
                <c:pt idx="0">
                  <c:v>Female</c:v>
                </c:pt>
                <c:pt idx="1">
                  <c:v>Male</c:v>
                </c:pt>
              </c:strCache>
            </c:strRef>
          </c:cat>
          <c:val>
            <c:numRef>
              <c:f>Sheet1!$B$317:$B$319</c:f>
              <c:numCache>
                <c:formatCode>General</c:formatCode>
                <c:ptCount val="2"/>
                <c:pt idx="0">
                  <c:v>130</c:v>
                </c:pt>
                <c:pt idx="1">
                  <c:v>120</c:v>
                </c:pt>
              </c:numCache>
            </c:numRef>
          </c:val>
          <c:extLst>
            <c:ext xmlns:c16="http://schemas.microsoft.com/office/drawing/2014/chart" uri="{C3380CC4-5D6E-409C-BE32-E72D297353CC}">
              <c16:uniqueId val="{00000004-D9BD-4B09-8F1C-16FFF31A5EF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[Entartaintment Preferences Presentation.xlsx]Sheet1!PivotTable29</c:name>
    <c:fmtId val="11"/>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Sheet1!$B$345:$B$346</c:f>
              <c:strCache>
                <c:ptCount val="1"/>
                <c:pt idx="0">
                  <c:v>Amazon Prime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Sheet1!$A$347:$A$349</c:f>
              <c:strCache>
                <c:ptCount val="2"/>
                <c:pt idx="0">
                  <c:v>Female</c:v>
                </c:pt>
                <c:pt idx="1">
                  <c:v>Male</c:v>
                </c:pt>
              </c:strCache>
            </c:strRef>
          </c:cat>
          <c:val>
            <c:numRef>
              <c:f>Sheet1!$B$347:$B$349</c:f>
              <c:numCache>
                <c:formatCode>General</c:formatCode>
                <c:ptCount val="2"/>
                <c:pt idx="0">
                  <c:v>18</c:v>
                </c:pt>
                <c:pt idx="1">
                  <c:v>16</c:v>
                </c:pt>
              </c:numCache>
            </c:numRef>
          </c:val>
          <c:extLst>
            <c:ext xmlns:c16="http://schemas.microsoft.com/office/drawing/2014/chart" uri="{C3380CC4-5D6E-409C-BE32-E72D297353CC}">
              <c16:uniqueId val="{00000000-7FB8-43B0-AE8F-27572BF79652}"/>
            </c:ext>
          </c:extLst>
        </c:ser>
        <c:ser>
          <c:idx val="1"/>
          <c:order val="1"/>
          <c:tx>
            <c:strRef>
              <c:f>Sheet1!$C$345:$C$346</c:f>
              <c:strCache>
                <c:ptCount val="1"/>
                <c:pt idx="0">
                  <c:v>Disney+</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Sheet1!$A$347:$A$349</c:f>
              <c:strCache>
                <c:ptCount val="2"/>
                <c:pt idx="0">
                  <c:v>Female</c:v>
                </c:pt>
                <c:pt idx="1">
                  <c:v>Male</c:v>
                </c:pt>
              </c:strCache>
            </c:strRef>
          </c:cat>
          <c:val>
            <c:numRef>
              <c:f>Sheet1!$C$347:$C$349</c:f>
              <c:numCache>
                <c:formatCode>General</c:formatCode>
                <c:ptCount val="2"/>
                <c:pt idx="0">
                  <c:v>29</c:v>
                </c:pt>
                <c:pt idx="1">
                  <c:v>17</c:v>
                </c:pt>
              </c:numCache>
            </c:numRef>
          </c:val>
          <c:extLst>
            <c:ext xmlns:c16="http://schemas.microsoft.com/office/drawing/2014/chart" uri="{C3380CC4-5D6E-409C-BE32-E72D297353CC}">
              <c16:uniqueId val="{0000000C-7FB8-43B0-AE8F-27572BF79652}"/>
            </c:ext>
          </c:extLst>
        </c:ser>
        <c:ser>
          <c:idx val="2"/>
          <c:order val="2"/>
          <c:tx>
            <c:strRef>
              <c:f>Sheet1!$D$345:$D$346</c:f>
              <c:strCache>
                <c:ptCount val="1"/>
                <c:pt idx="0">
                  <c:v>Hotstar</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Sheet1!$A$347:$A$349</c:f>
              <c:strCache>
                <c:ptCount val="2"/>
                <c:pt idx="0">
                  <c:v>Female</c:v>
                </c:pt>
                <c:pt idx="1">
                  <c:v>Male</c:v>
                </c:pt>
              </c:strCache>
            </c:strRef>
          </c:cat>
          <c:val>
            <c:numRef>
              <c:f>Sheet1!$D$347:$D$349</c:f>
              <c:numCache>
                <c:formatCode>General</c:formatCode>
                <c:ptCount val="2"/>
                <c:pt idx="0">
                  <c:v>30</c:v>
                </c:pt>
                <c:pt idx="1">
                  <c:v>19</c:v>
                </c:pt>
              </c:numCache>
            </c:numRef>
          </c:val>
          <c:extLst>
            <c:ext xmlns:c16="http://schemas.microsoft.com/office/drawing/2014/chart" uri="{C3380CC4-5D6E-409C-BE32-E72D297353CC}">
              <c16:uniqueId val="{0000000D-7FB8-43B0-AE8F-27572BF79652}"/>
            </c:ext>
          </c:extLst>
        </c:ser>
        <c:ser>
          <c:idx val="3"/>
          <c:order val="3"/>
          <c:tx>
            <c:strRef>
              <c:f>Sheet1!$E$345:$E$346</c:f>
              <c:strCache>
                <c:ptCount val="1"/>
                <c:pt idx="0">
                  <c:v>Netflix</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Sheet1!$A$347:$A$349</c:f>
              <c:strCache>
                <c:ptCount val="2"/>
                <c:pt idx="0">
                  <c:v>Female</c:v>
                </c:pt>
                <c:pt idx="1">
                  <c:v>Male</c:v>
                </c:pt>
              </c:strCache>
            </c:strRef>
          </c:cat>
          <c:val>
            <c:numRef>
              <c:f>Sheet1!$E$347:$E$349</c:f>
              <c:numCache>
                <c:formatCode>General</c:formatCode>
                <c:ptCount val="2"/>
                <c:pt idx="0">
                  <c:v>13</c:v>
                </c:pt>
                <c:pt idx="1">
                  <c:v>16</c:v>
                </c:pt>
              </c:numCache>
            </c:numRef>
          </c:val>
          <c:extLst>
            <c:ext xmlns:c16="http://schemas.microsoft.com/office/drawing/2014/chart" uri="{C3380CC4-5D6E-409C-BE32-E72D297353CC}">
              <c16:uniqueId val="{0000000E-7FB8-43B0-AE8F-27572BF79652}"/>
            </c:ext>
          </c:extLst>
        </c:ser>
        <c:ser>
          <c:idx val="4"/>
          <c:order val="4"/>
          <c:tx>
            <c:strRef>
              <c:f>Sheet1!$F$345:$F$346</c:f>
              <c:strCache>
                <c:ptCount val="1"/>
                <c:pt idx="0">
                  <c:v>Sony Liv</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Sheet1!$A$347:$A$349</c:f>
              <c:strCache>
                <c:ptCount val="2"/>
                <c:pt idx="0">
                  <c:v>Female</c:v>
                </c:pt>
                <c:pt idx="1">
                  <c:v>Male</c:v>
                </c:pt>
              </c:strCache>
            </c:strRef>
          </c:cat>
          <c:val>
            <c:numRef>
              <c:f>Sheet1!$F$347:$F$349</c:f>
              <c:numCache>
                <c:formatCode>General</c:formatCode>
                <c:ptCount val="2"/>
                <c:pt idx="0">
                  <c:v>20</c:v>
                </c:pt>
                <c:pt idx="1">
                  <c:v>25</c:v>
                </c:pt>
              </c:numCache>
            </c:numRef>
          </c:val>
          <c:extLst>
            <c:ext xmlns:c16="http://schemas.microsoft.com/office/drawing/2014/chart" uri="{C3380CC4-5D6E-409C-BE32-E72D297353CC}">
              <c16:uniqueId val="{0000000F-7FB8-43B0-AE8F-27572BF79652}"/>
            </c:ext>
          </c:extLst>
        </c:ser>
        <c:ser>
          <c:idx val="5"/>
          <c:order val="5"/>
          <c:tx>
            <c:strRef>
              <c:f>Sheet1!$G$345:$G$346</c:f>
              <c:strCache>
                <c:ptCount val="1"/>
                <c:pt idx="0">
                  <c:v>Zee5</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Sheet1!$A$347:$A$349</c:f>
              <c:strCache>
                <c:ptCount val="2"/>
                <c:pt idx="0">
                  <c:v>Female</c:v>
                </c:pt>
                <c:pt idx="1">
                  <c:v>Male</c:v>
                </c:pt>
              </c:strCache>
            </c:strRef>
          </c:cat>
          <c:val>
            <c:numRef>
              <c:f>Sheet1!$G$347:$G$349</c:f>
              <c:numCache>
                <c:formatCode>General</c:formatCode>
                <c:ptCount val="2"/>
                <c:pt idx="0">
                  <c:v>20</c:v>
                </c:pt>
                <c:pt idx="1">
                  <c:v>27</c:v>
                </c:pt>
              </c:numCache>
            </c:numRef>
          </c:val>
          <c:extLst>
            <c:ext xmlns:c16="http://schemas.microsoft.com/office/drawing/2014/chart" uri="{C3380CC4-5D6E-409C-BE32-E72D297353CC}">
              <c16:uniqueId val="{00000010-7FB8-43B0-AE8F-27572BF79652}"/>
            </c:ext>
          </c:extLst>
        </c:ser>
        <c:dLbls>
          <c:dLblPos val="ctr"/>
          <c:showLegendKey val="0"/>
          <c:showVal val="1"/>
          <c:showCatName val="0"/>
          <c:showSerName val="0"/>
          <c:showPercent val="0"/>
          <c:showBubbleSize val="0"/>
        </c:dLbls>
        <c:gapWidth val="150"/>
        <c:overlap val="100"/>
        <c:axId val="489279776"/>
        <c:axId val="489280736"/>
      </c:barChart>
      <c:catAx>
        <c:axId val="48927977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89280736"/>
        <c:crosses val="autoZero"/>
        <c:auto val="1"/>
        <c:lblAlgn val="ctr"/>
        <c:lblOffset val="100"/>
        <c:noMultiLvlLbl val="0"/>
      </c:catAx>
      <c:valAx>
        <c:axId val="489280736"/>
        <c:scaling>
          <c:orientation val="minMax"/>
        </c:scaling>
        <c:delete val="1"/>
        <c:axPos val="l"/>
        <c:numFmt formatCode="General" sourceLinked="1"/>
        <c:majorTickMark val="out"/>
        <c:minorTickMark val="none"/>
        <c:tickLblPos val="nextTo"/>
        <c:crossAx val="4892797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Sheet1!$B$286</c:f>
              <c:strCache>
                <c:ptCount val="1"/>
                <c:pt idx="0">
                  <c:v>Count of Favorite_Music_Genre</c:v>
                </c:pt>
              </c:strCache>
            </c:strRef>
          </c:tx>
          <c:spPr>
            <a:solidFill>
              <a:schemeClr val="accent1"/>
            </a:solidFill>
            <a:ln>
              <a:noFill/>
            </a:ln>
            <a:effectLst/>
          </c:spPr>
          <c:invertIfNegative val="0"/>
          <c:cat>
            <c:strRef>
              <c:f>Sheet1!$A$287:$A$290</c:f>
              <c:strCache>
                <c:ptCount val="4"/>
                <c:pt idx="0">
                  <c:v>10-19</c:v>
                </c:pt>
                <c:pt idx="1">
                  <c:v>20-29</c:v>
                </c:pt>
                <c:pt idx="2">
                  <c:v>30-39</c:v>
                </c:pt>
                <c:pt idx="3">
                  <c:v>40-50</c:v>
                </c:pt>
              </c:strCache>
            </c:strRef>
          </c:cat>
          <c:val>
            <c:numRef>
              <c:f>Sheet1!$B$287:$B$290</c:f>
              <c:numCache>
                <c:formatCode>General</c:formatCode>
                <c:ptCount val="4"/>
                <c:pt idx="0">
                  <c:v>12</c:v>
                </c:pt>
                <c:pt idx="1">
                  <c:v>78</c:v>
                </c:pt>
                <c:pt idx="2">
                  <c:v>77</c:v>
                </c:pt>
                <c:pt idx="3">
                  <c:v>83</c:v>
                </c:pt>
              </c:numCache>
            </c:numRef>
          </c:val>
          <c:extLst>
            <c:ext xmlns:c16="http://schemas.microsoft.com/office/drawing/2014/chart" uri="{C3380CC4-5D6E-409C-BE32-E72D297353CC}">
              <c16:uniqueId val="{00000000-7031-4754-8F00-19322D3AC906}"/>
            </c:ext>
          </c:extLst>
        </c:ser>
        <c:dLbls>
          <c:showLegendKey val="0"/>
          <c:showVal val="0"/>
          <c:showCatName val="0"/>
          <c:showSerName val="0"/>
          <c:showPercent val="0"/>
          <c:showBubbleSize val="0"/>
        </c:dLbls>
        <c:gapWidth val="182"/>
        <c:axId val="839653504"/>
        <c:axId val="839664544"/>
      </c:barChart>
      <c:catAx>
        <c:axId val="839653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664544"/>
        <c:crosses val="autoZero"/>
        <c:auto val="1"/>
        <c:lblAlgn val="ctr"/>
        <c:lblOffset val="100"/>
        <c:noMultiLvlLbl val="0"/>
      </c:catAx>
      <c:valAx>
        <c:axId val="839664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653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[Entartaintment Preferences Presentation.xlsx]Sheet1!PivotTable4</c:name>
    <c:fmtId val="6"/>
  </c:pivotSource>
  <c:chart>
    <c:title>
      <c:tx>
        <c:rich>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r>
              <a:rPr lang="en-US"/>
              <a:t>ENTERTAINMENT BEHAVIOR BY AGE GROUP</a:t>
            </a:r>
          </a:p>
        </c:rich>
      </c:tx>
      <c:overlay val="0"/>
      <c:spPr>
        <a:noFill/>
        <a:ln>
          <a:noFill/>
        </a:ln>
        <a:effectLst/>
      </c:spPr>
      <c:txPr>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16669764077314708"/>
              <c:y val="-7.4336299761421452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Sheet1!$B$4</c:f>
              <c:strCache>
                <c:ptCount val="1"/>
                <c:pt idx="0">
                  <c:v> Streaming_Hours_per_Week</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Sheet1!$A$5:$A$6</c:f>
              <c:strCache>
                <c:ptCount val="1"/>
                <c:pt idx="0">
                  <c:v>20-29</c:v>
                </c:pt>
              </c:strCache>
            </c:strRef>
          </c:cat>
          <c:val>
            <c:numRef>
              <c:f>Sheet1!$B$5:$B$6</c:f>
              <c:numCache>
                <c:formatCode>General</c:formatCode>
                <c:ptCount val="1"/>
                <c:pt idx="0">
                  <c:v>18.128205128205128</c:v>
                </c:pt>
              </c:numCache>
            </c:numRef>
          </c:val>
          <c:extLst>
            <c:ext xmlns:c16="http://schemas.microsoft.com/office/drawing/2014/chart" uri="{C3380CC4-5D6E-409C-BE32-E72D297353CC}">
              <c16:uniqueId val="{00000000-4B10-4CD5-8247-3CCD9D84259B}"/>
            </c:ext>
          </c:extLst>
        </c:ser>
        <c:ser>
          <c:idx val="1"/>
          <c:order val="1"/>
          <c:tx>
            <c:strRef>
              <c:f>Sheet1!$C$4</c:f>
              <c:strCache>
                <c:ptCount val="1"/>
                <c:pt idx="0">
                  <c:v> Monthly_Entertainment_Spend</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Sheet1!$A$5:$A$6</c:f>
              <c:strCache>
                <c:ptCount val="1"/>
                <c:pt idx="0">
                  <c:v>20-29</c:v>
                </c:pt>
              </c:strCache>
            </c:strRef>
          </c:cat>
          <c:val>
            <c:numRef>
              <c:f>Sheet1!$C$5:$C$6</c:f>
              <c:numCache>
                <c:formatCode>General</c:formatCode>
                <c:ptCount val="1"/>
                <c:pt idx="0">
                  <c:v>1584.3589743589744</c:v>
                </c:pt>
              </c:numCache>
            </c:numRef>
          </c:val>
          <c:extLst>
            <c:ext xmlns:c16="http://schemas.microsoft.com/office/drawing/2014/chart" uri="{C3380CC4-5D6E-409C-BE32-E72D297353CC}">
              <c16:uniqueId val="{00000001-4B10-4CD5-8247-3CCD9D84259B}"/>
            </c:ext>
          </c:extLst>
        </c:ser>
        <c:ser>
          <c:idx val="2"/>
          <c:order val="2"/>
          <c:tx>
            <c:strRef>
              <c:f>Sheet1!$D$4</c:f>
              <c:strCache>
                <c:ptCount val="1"/>
                <c:pt idx="0">
                  <c:v> Event_Attendance_per_Year</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Sheet1!$A$5:$A$6</c:f>
              <c:strCache>
                <c:ptCount val="1"/>
                <c:pt idx="0">
                  <c:v>20-29</c:v>
                </c:pt>
              </c:strCache>
            </c:strRef>
          </c:cat>
          <c:val>
            <c:numRef>
              <c:f>Sheet1!$D$5:$D$6</c:f>
              <c:numCache>
                <c:formatCode>General</c:formatCode>
                <c:ptCount val="1"/>
                <c:pt idx="0">
                  <c:v>5.4871794871794872</c:v>
                </c:pt>
              </c:numCache>
            </c:numRef>
          </c:val>
          <c:extLst>
            <c:ext xmlns:c16="http://schemas.microsoft.com/office/drawing/2014/chart" uri="{C3380CC4-5D6E-409C-BE32-E72D297353CC}">
              <c16:uniqueId val="{00000002-4B10-4CD5-8247-3CCD9D84259B}"/>
            </c:ext>
          </c:extLst>
        </c:ser>
        <c:dLbls>
          <c:dLblPos val="outEnd"/>
          <c:showLegendKey val="0"/>
          <c:showVal val="1"/>
          <c:showCatName val="0"/>
          <c:showSerName val="0"/>
          <c:showPercent val="0"/>
          <c:showBubbleSize val="0"/>
        </c:dLbls>
        <c:gapWidth val="182"/>
        <c:axId val="1989590719"/>
        <c:axId val="1989589279"/>
      </c:barChart>
      <c:catAx>
        <c:axId val="19895907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989589279"/>
        <c:crosses val="autoZero"/>
        <c:auto val="1"/>
        <c:lblAlgn val="ctr"/>
        <c:lblOffset val="100"/>
        <c:noMultiLvlLbl val="0"/>
      </c:catAx>
      <c:valAx>
        <c:axId val="1989589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98959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[Entartaintment Preferences Presentation.xlsx]Sheet1!PivotTable11</c:name>
    <c:fmtId val="7"/>
  </c:pivotSource>
  <c:chart>
    <c:title>
      <c:tx>
        <c:rich>
          <a:bodyPr rot="0" spcFirstLastPara="1" vertOverflow="ellipsis" vert="horz" wrap="square" anchor="ctr" anchorCtr="1"/>
          <a:lstStyle/>
          <a:p>
            <a:pPr>
              <a:defRPr sz="2160" b="1" i="0" u="none" strike="noStrike" kern="1200" baseline="0">
                <a:solidFill>
                  <a:schemeClr val="dk1">
                    <a:lumMod val="75000"/>
                    <a:lumOff val="25000"/>
                  </a:schemeClr>
                </a:solidFill>
                <a:latin typeface="+mn-lt"/>
                <a:ea typeface="+mn-ea"/>
                <a:cs typeface="+mn-cs"/>
              </a:defRPr>
            </a:pPr>
            <a:r>
              <a:rPr lang="en-US"/>
              <a:t>Favorite Movie Genre Prefferd By Gender </a:t>
            </a:r>
          </a:p>
        </c:rich>
      </c:tx>
      <c:overlay val="0"/>
      <c:spPr>
        <a:noFill/>
        <a:ln>
          <a:noFill/>
        </a:ln>
        <a:effectLst/>
      </c:spPr>
      <c:txPr>
        <a:bodyPr rot="0" spcFirstLastPara="1" vertOverflow="ellipsis" vert="horz" wrap="square" anchor="ctr" anchorCtr="1"/>
        <a:lstStyle/>
        <a:p>
          <a:pPr>
            <a:defRPr sz="216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Sheet1!$B$17:$B$18</c:f>
              <c:strCache>
                <c:ptCount val="1"/>
                <c:pt idx="0">
                  <c:v>Female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Sheet1!$A$19:$A$20</c:f>
              <c:strCache>
                <c:ptCount val="1"/>
                <c:pt idx="0">
                  <c:v>Horror</c:v>
                </c:pt>
              </c:strCache>
            </c:strRef>
          </c:cat>
          <c:val>
            <c:numRef>
              <c:f>Sheet1!$B$19:$B$20</c:f>
              <c:numCache>
                <c:formatCode>General</c:formatCode>
                <c:ptCount val="1"/>
                <c:pt idx="0">
                  <c:v>21</c:v>
                </c:pt>
              </c:numCache>
            </c:numRef>
          </c:val>
          <c:extLst>
            <c:ext xmlns:c16="http://schemas.microsoft.com/office/drawing/2014/chart" uri="{C3380CC4-5D6E-409C-BE32-E72D297353CC}">
              <c16:uniqueId val="{00000000-7E63-4499-BEF3-15D44AC01384}"/>
            </c:ext>
          </c:extLst>
        </c:ser>
        <c:ser>
          <c:idx val="1"/>
          <c:order val="1"/>
          <c:tx>
            <c:strRef>
              <c:f>Sheet1!$C$17:$C$18</c:f>
              <c:strCache>
                <c:ptCount val="1"/>
                <c:pt idx="0">
                  <c:v>Male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Sheet1!$A$19:$A$20</c:f>
              <c:strCache>
                <c:ptCount val="1"/>
                <c:pt idx="0">
                  <c:v>Horror</c:v>
                </c:pt>
              </c:strCache>
            </c:strRef>
          </c:cat>
          <c:val>
            <c:numRef>
              <c:f>Sheet1!$C$19:$C$20</c:f>
              <c:numCache>
                <c:formatCode>General</c:formatCode>
                <c:ptCount val="1"/>
                <c:pt idx="0">
                  <c:v>12</c:v>
                </c:pt>
              </c:numCache>
            </c:numRef>
          </c:val>
          <c:extLst>
            <c:ext xmlns:c16="http://schemas.microsoft.com/office/drawing/2014/chart" uri="{C3380CC4-5D6E-409C-BE32-E72D297353CC}">
              <c16:uniqueId val="{00000001-7E63-4499-BEF3-15D44AC01384}"/>
            </c:ext>
          </c:extLst>
        </c:ser>
        <c:dLbls>
          <c:dLblPos val="ctr"/>
          <c:showLegendKey val="0"/>
          <c:showVal val="1"/>
          <c:showCatName val="0"/>
          <c:showSerName val="0"/>
          <c:showPercent val="0"/>
          <c:showBubbleSize val="0"/>
        </c:dLbls>
        <c:gapWidth val="150"/>
        <c:overlap val="100"/>
        <c:axId val="1426701935"/>
        <c:axId val="1426700975"/>
      </c:barChart>
      <c:catAx>
        <c:axId val="14267019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800" b="0" i="0" u="none" strike="noStrike" kern="1200" cap="all" baseline="0">
                <a:solidFill>
                  <a:schemeClr val="dk1">
                    <a:lumMod val="75000"/>
                    <a:lumOff val="25000"/>
                  </a:schemeClr>
                </a:solidFill>
                <a:latin typeface="+mn-lt"/>
                <a:ea typeface="+mn-ea"/>
                <a:cs typeface="+mn-cs"/>
              </a:defRPr>
            </a:pPr>
            <a:endParaRPr lang="en-US"/>
          </a:p>
        </c:txPr>
        <c:crossAx val="1426700975"/>
        <c:crosses val="autoZero"/>
        <c:auto val="1"/>
        <c:lblAlgn val="ctr"/>
        <c:lblOffset val="100"/>
        <c:noMultiLvlLbl val="0"/>
      </c:catAx>
      <c:valAx>
        <c:axId val="1426700975"/>
        <c:scaling>
          <c:orientation val="minMax"/>
        </c:scaling>
        <c:delete val="1"/>
        <c:axPos val="l"/>
        <c:numFmt formatCode="0%" sourceLinked="1"/>
        <c:majorTickMark val="none"/>
        <c:minorTickMark val="none"/>
        <c:tickLblPos val="nextTo"/>
        <c:crossAx val="14267019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8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[Entartaintment Preferences Presentation.xlsx]Sheet1!PivotTable13</c:name>
    <c:fmtId val="5"/>
  </c:pivotSource>
  <c:chart>
    <c:title>
      <c:tx>
        <c:rich>
          <a:bodyPr rot="0" spcFirstLastPara="1" vertOverflow="ellipsis" vert="horz" wrap="square" anchor="ctr" anchorCtr="1"/>
          <a:lstStyle/>
          <a:p>
            <a:pPr>
              <a:defRPr sz="2880" b="1" i="0" u="none" strike="noStrike" kern="1200" baseline="0">
                <a:solidFill>
                  <a:schemeClr val="dk1">
                    <a:lumMod val="75000"/>
                    <a:lumOff val="25000"/>
                  </a:schemeClr>
                </a:solidFill>
                <a:latin typeface="+mn-lt"/>
                <a:ea typeface="+mn-ea"/>
                <a:cs typeface="+mn-cs"/>
              </a:defRPr>
            </a:pPr>
            <a:r>
              <a:rPr lang="en-US"/>
              <a:t>Monthly Entertainment Spending By Age Group</a:t>
            </a:r>
          </a:p>
        </c:rich>
      </c:tx>
      <c:overlay val="0"/>
      <c:spPr>
        <a:noFill/>
        <a:ln>
          <a:noFill/>
        </a:ln>
        <a:effectLst/>
      </c:spPr>
      <c:txPr>
        <a:bodyPr rot="0" spcFirstLastPara="1" vertOverflow="ellipsis" vert="horz" wrap="square" anchor="ctr" anchorCtr="1"/>
        <a:lstStyle/>
        <a:p>
          <a:pPr>
            <a:defRPr sz="288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24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Sheet1!$B$91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24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strRef>
              <c:f>Sheet1!$A$92:$A$96</c:f>
              <c:strCache>
                <c:ptCount val="4"/>
                <c:pt idx="0">
                  <c:v>10-19</c:v>
                </c:pt>
                <c:pt idx="1">
                  <c:v>20-29</c:v>
                </c:pt>
                <c:pt idx="2">
                  <c:v>30-39</c:v>
                </c:pt>
                <c:pt idx="3">
                  <c:v>40-50</c:v>
                </c:pt>
              </c:strCache>
            </c:strRef>
          </c:cat>
          <c:val>
            <c:numRef>
              <c:f>Sheet1!$B$92:$B$96</c:f>
              <c:numCache>
                <c:formatCode>"$"#,##0.00</c:formatCode>
                <c:ptCount val="4"/>
                <c:pt idx="0">
                  <c:v>19660</c:v>
                </c:pt>
                <c:pt idx="1">
                  <c:v>123580</c:v>
                </c:pt>
                <c:pt idx="2">
                  <c:v>126330</c:v>
                </c:pt>
                <c:pt idx="3">
                  <c:v>147597</c:v>
                </c:pt>
              </c:numCache>
            </c:numRef>
          </c:val>
          <c:extLst>
            <c:ext xmlns:c16="http://schemas.microsoft.com/office/drawing/2014/chart" uri="{C3380CC4-5D6E-409C-BE32-E72D297353CC}">
              <c16:uniqueId val="{00000001-CC49-414B-8E4F-8B7841884EB8}"/>
            </c:ext>
          </c:extLst>
        </c:ser>
        <c:dLbls>
          <c:dLblPos val="inEnd"/>
          <c:showLegendKey val="0"/>
          <c:showVal val="1"/>
          <c:showCatName val="0"/>
          <c:showSerName val="0"/>
          <c:showPercent val="0"/>
          <c:showBubbleSize val="0"/>
        </c:dLbls>
        <c:gapWidth val="65"/>
        <c:axId val="1390383071"/>
        <c:axId val="1390370591"/>
      </c:barChart>
      <c:catAx>
        <c:axId val="1390383071"/>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2400" b="0" i="0" u="none" strike="noStrike" kern="1200" cap="all" baseline="0">
                <a:solidFill>
                  <a:schemeClr val="dk1">
                    <a:lumMod val="75000"/>
                    <a:lumOff val="25000"/>
                  </a:schemeClr>
                </a:solidFill>
                <a:latin typeface="+mn-lt"/>
                <a:ea typeface="+mn-ea"/>
                <a:cs typeface="+mn-cs"/>
              </a:defRPr>
            </a:pPr>
            <a:endParaRPr lang="en-US"/>
          </a:p>
        </c:txPr>
        <c:crossAx val="1390370591"/>
        <c:crosses val="autoZero"/>
        <c:auto val="1"/>
        <c:lblAlgn val="ctr"/>
        <c:lblOffset val="100"/>
        <c:noMultiLvlLbl val="0"/>
      </c:catAx>
      <c:valAx>
        <c:axId val="1390370591"/>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dk1">
                    <a:lumMod val="75000"/>
                    <a:lumOff val="25000"/>
                  </a:schemeClr>
                </a:solidFill>
                <a:latin typeface="+mn-lt"/>
                <a:ea typeface="+mn-ea"/>
                <a:cs typeface="+mn-cs"/>
              </a:defRPr>
            </a:pPr>
            <a:endParaRPr lang="en-US"/>
          </a:p>
        </c:txPr>
        <c:crossAx val="139038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2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[Entartaintment Preferences Presentation.xlsx]Sheet1!PivotTable14</c:name>
    <c:fmtId val="14"/>
  </c:pivotSource>
  <c:chart>
    <c:title>
      <c:tx>
        <c:rich>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r>
              <a:rPr lang="en-US" b="1"/>
              <a:t>Average Monthly Entertainment Spend by Age Group</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Sheet1!$B$128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2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Sheet1!$A$129:$A$133</c:f>
              <c:strCache>
                <c:ptCount val="4"/>
                <c:pt idx="0">
                  <c:v>10-19</c:v>
                </c:pt>
                <c:pt idx="1">
                  <c:v>20-29</c:v>
                </c:pt>
                <c:pt idx="2">
                  <c:v>30-39</c:v>
                </c:pt>
                <c:pt idx="3">
                  <c:v>40-50</c:v>
                </c:pt>
              </c:strCache>
            </c:strRef>
          </c:cat>
          <c:val>
            <c:numRef>
              <c:f>Sheet1!$B$129:$B$133</c:f>
              <c:numCache>
                <c:formatCode>General</c:formatCode>
                <c:ptCount val="4"/>
                <c:pt idx="0">
                  <c:v>1638.3333333333333</c:v>
                </c:pt>
                <c:pt idx="1">
                  <c:v>1584.3589743589744</c:v>
                </c:pt>
                <c:pt idx="2">
                  <c:v>1640.6493506493507</c:v>
                </c:pt>
                <c:pt idx="3">
                  <c:v>1778.2771084337348</c:v>
                </c:pt>
              </c:numCache>
            </c:numRef>
          </c:val>
          <c:extLst>
            <c:ext xmlns:c16="http://schemas.microsoft.com/office/drawing/2014/chart" uri="{C3380CC4-5D6E-409C-BE32-E72D297353CC}">
              <c16:uniqueId val="{00000000-B44C-4987-A459-1443910205C6}"/>
            </c:ext>
          </c:extLst>
        </c:ser>
        <c:dLbls>
          <c:dLblPos val="inEnd"/>
          <c:showLegendKey val="0"/>
          <c:showVal val="1"/>
          <c:showCatName val="0"/>
          <c:showSerName val="0"/>
          <c:showPercent val="0"/>
          <c:showBubbleSize val="0"/>
        </c:dLbls>
        <c:gapWidth val="65"/>
        <c:axId val="526612927"/>
        <c:axId val="526596607"/>
      </c:barChart>
      <c:catAx>
        <c:axId val="5266129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2000" b="0" i="0" u="none" strike="noStrike" kern="1200" cap="all" baseline="0">
                <a:solidFill>
                  <a:schemeClr val="dk1">
                    <a:lumMod val="75000"/>
                    <a:lumOff val="25000"/>
                  </a:schemeClr>
                </a:solidFill>
                <a:latin typeface="+mn-lt"/>
                <a:ea typeface="+mn-ea"/>
                <a:cs typeface="+mn-cs"/>
              </a:defRPr>
            </a:pPr>
            <a:endParaRPr lang="en-US"/>
          </a:p>
        </c:txPr>
        <c:crossAx val="526596607"/>
        <c:crosses val="autoZero"/>
        <c:auto val="1"/>
        <c:lblAlgn val="ctr"/>
        <c:lblOffset val="100"/>
        <c:noMultiLvlLbl val="0"/>
      </c:catAx>
      <c:valAx>
        <c:axId val="526596607"/>
        <c:scaling>
          <c:orientation val="minMax"/>
        </c:scaling>
        <c:delete val="1"/>
        <c:axPos val="l"/>
        <c:numFmt formatCode="General" sourceLinked="1"/>
        <c:majorTickMark val="none"/>
        <c:minorTickMark val="none"/>
        <c:tickLblPos val="nextTo"/>
        <c:crossAx val="5266129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20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[Entartaintment Preferences Presentation.xlsx]Sheet1!PivotTable17</c:name>
    <c:fmtId val="8"/>
  </c:pivotSource>
  <c:chart>
    <c:title>
      <c:tx>
        <c:rich>
          <a:bodyPr rot="0" spcFirstLastPara="1" vertOverflow="ellipsis" vert="horz" wrap="square" anchor="ctr" anchorCtr="1"/>
          <a:lstStyle/>
          <a:p>
            <a:pPr>
              <a:defRPr sz="2880" b="1" i="0" u="none" strike="noStrike" kern="1200" baseline="0">
                <a:solidFill>
                  <a:schemeClr val="dk1">
                    <a:lumMod val="75000"/>
                    <a:lumOff val="25000"/>
                  </a:schemeClr>
                </a:solidFill>
                <a:latin typeface="+mn-lt"/>
                <a:ea typeface="+mn-ea"/>
                <a:cs typeface="+mn-cs"/>
              </a:defRPr>
            </a:pPr>
            <a:r>
              <a:rPr lang="en-US"/>
              <a:t>Preffered</a:t>
            </a:r>
            <a:r>
              <a:rPr lang="en-US" baseline="0"/>
              <a:t> Platform By Age Group</a:t>
            </a:r>
            <a:endParaRPr lang="en-US"/>
          </a:p>
        </c:rich>
      </c:tx>
      <c:overlay val="0"/>
      <c:spPr>
        <a:noFill/>
        <a:ln>
          <a:noFill/>
        </a:ln>
        <a:effectLst/>
      </c:spPr>
      <c:txPr>
        <a:bodyPr rot="0" spcFirstLastPara="1" vertOverflow="ellipsis" vert="horz" wrap="square" anchor="ctr" anchorCtr="1"/>
        <a:lstStyle/>
        <a:p>
          <a:pPr>
            <a:defRPr sz="288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pivotFmt>
      <c:pivotFmt>
        <c:idx val="6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pivotFmt>
      <c:pivotFmt>
        <c:idx val="6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7"/>
        <c:spPr>
          <a:solidFill>
            <a:schemeClr val="accent1"/>
          </a:solidFill>
          <a:ln>
            <a:noFill/>
          </a:ln>
          <a:effectLst>
            <a:outerShdw blurRad="254000" sx="102000" sy="102000" algn="ctr" rotWithShape="0">
              <a:prstClr val="black">
                <a:alpha val="20000"/>
              </a:prstClr>
            </a:outerShdw>
          </a:effectLst>
        </c:spPr>
      </c:pivotFmt>
      <c:pivotFmt>
        <c:idx val="68"/>
        <c:spPr>
          <a:solidFill>
            <a:schemeClr val="accent1"/>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pivotFmt>
      <c:pivotFmt>
        <c:idx val="70"/>
        <c:spPr>
          <a:solidFill>
            <a:schemeClr val="accent1"/>
          </a:solidFill>
          <a:ln>
            <a:noFill/>
          </a:ln>
          <a:effectLst>
            <a:outerShdw blurRad="254000" sx="102000" sy="102000" algn="ctr" rotWithShape="0">
              <a:prstClr val="black">
                <a:alpha val="20000"/>
              </a:prstClr>
            </a:outerShdw>
          </a:effectLst>
        </c:spPr>
      </c:pivotFmt>
      <c:pivotFmt>
        <c:idx val="7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2"/>
        <c:spPr>
          <a:solidFill>
            <a:schemeClr val="accent1"/>
          </a:solidFill>
          <a:ln>
            <a:noFill/>
          </a:ln>
          <a:effectLst>
            <a:outerShdw blurRad="254000" sx="102000" sy="102000" algn="ctr" rotWithShape="0">
              <a:prstClr val="black">
                <a:alpha val="20000"/>
              </a:prstClr>
            </a:outerShdw>
          </a:effectLst>
        </c:spPr>
      </c:pivotFmt>
      <c:pivotFmt>
        <c:idx val="73"/>
        <c:spPr>
          <a:solidFill>
            <a:schemeClr val="accent1"/>
          </a:solidFill>
          <a:ln>
            <a:noFill/>
          </a:ln>
          <a:effectLst>
            <a:outerShdw blurRad="254000" sx="102000" sy="102000" algn="ctr" rotWithShape="0">
              <a:prstClr val="black">
                <a:alpha val="20000"/>
              </a:prstClr>
            </a:outerShdw>
          </a:effectLst>
        </c:spPr>
      </c:pivotFmt>
      <c:pivotFmt>
        <c:idx val="74"/>
        <c:spPr>
          <a:solidFill>
            <a:schemeClr val="accent1"/>
          </a:solidFill>
          <a:ln>
            <a:noFill/>
          </a:ln>
          <a:effectLst>
            <a:outerShdw blurRad="254000" sx="102000" sy="102000" algn="ctr" rotWithShape="0">
              <a:prstClr val="black">
                <a:alpha val="20000"/>
              </a:prstClr>
            </a:outerShdw>
          </a:effectLst>
        </c:spPr>
      </c:pivotFmt>
      <c:pivotFmt>
        <c:idx val="75"/>
        <c:spPr>
          <a:solidFill>
            <a:schemeClr val="accent1"/>
          </a:solidFill>
          <a:ln>
            <a:noFill/>
          </a:ln>
          <a:effectLst>
            <a:outerShdw blurRad="254000" sx="102000" sy="102000" algn="ctr" rotWithShape="0">
              <a:prstClr val="black">
                <a:alpha val="20000"/>
              </a:prstClr>
            </a:outerShdw>
          </a:effectLst>
        </c:spPr>
      </c:pivotFmt>
      <c:pivotFmt>
        <c:idx val="7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7"/>
        <c:spPr>
          <a:solidFill>
            <a:schemeClr val="accent1"/>
          </a:solidFill>
          <a:ln>
            <a:noFill/>
          </a:ln>
          <a:effectLst>
            <a:outerShdw blurRad="254000" sx="102000" sy="102000" algn="ctr" rotWithShape="0">
              <a:prstClr val="black">
                <a:alpha val="20000"/>
              </a:prstClr>
            </a:outerShdw>
          </a:effectLst>
        </c:spPr>
      </c:pivotFmt>
      <c:pivotFmt>
        <c:idx val="78"/>
        <c:spPr>
          <a:solidFill>
            <a:schemeClr val="accent1"/>
          </a:solidFill>
          <a:ln>
            <a:noFill/>
          </a:ln>
          <a:effectLst>
            <a:outerShdw blurRad="254000" sx="102000" sy="102000" algn="ctr" rotWithShape="0">
              <a:prstClr val="black">
                <a:alpha val="20000"/>
              </a:prstClr>
            </a:outerShdw>
          </a:effectLst>
        </c:spPr>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pivotFmt>
      <c:pivotFmt>
        <c:idx val="8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chemeClr val="accent1"/>
          </a:solidFill>
          <a:ln>
            <a:noFill/>
          </a:ln>
          <a:effectLst>
            <a:outerShdw blurRad="254000" sx="102000" sy="102000" algn="ctr" rotWithShape="0">
              <a:prstClr val="black">
                <a:alpha val="20000"/>
              </a:prstClr>
            </a:outerShdw>
          </a:effectLst>
        </c:spPr>
      </c:pivotFmt>
      <c:pivotFmt>
        <c:idx val="85"/>
        <c:spPr>
          <a:solidFill>
            <a:schemeClr val="accent1"/>
          </a:solidFill>
          <a:ln>
            <a:noFill/>
          </a:ln>
          <a:effectLst>
            <a:outerShdw blurRad="254000" sx="102000" sy="102000" algn="ctr" rotWithShape="0">
              <a:prstClr val="black">
                <a:alpha val="20000"/>
              </a:prstClr>
            </a:outerShdw>
          </a:effectLst>
        </c:spPr>
      </c:pivotFmt>
      <c:pivotFmt>
        <c:idx val="8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7"/>
        <c:spPr>
          <a:solidFill>
            <a:schemeClr val="accent1"/>
          </a:solidFill>
          <a:ln>
            <a:noFill/>
          </a:ln>
          <a:effectLst>
            <a:outerShdw blurRad="254000" sx="102000" sy="102000" algn="ctr" rotWithShape="0">
              <a:prstClr val="black">
                <a:alpha val="20000"/>
              </a:prstClr>
            </a:outerShdw>
          </a:effectLst>
        </c:spPr>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pivotFmt>
      <c:pivotFmt>
        <c:idx val="9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chemeClr val="accent1"/>
          </a:solidFill>
          <a:ln>
            <a:noFill/>
          </a:ln>
          <a:effectLst>
            <a:outerShdw blurRad="254000" sx="102000" sy="102000" algn="ctr" rotWithShape="0">
              <a:prstClr val="black">
                <a:alpha val="20000"/>
              </a:prstClr>
            </a:outerShdw>
          </a:effectLst>
        </c:spPr>
      </c:pivotFmt>
      <c:pivotFmt>
        <c:idx val="94"/>
        <c:spPr>
          <a:solidFill>
            <a:schemeClr val="accent1"/>
          </a:solidFill>
          <a:ln>
            <a:noFill/>
          </a:ln>
          <a:effectLst>
            <a:outerShdw blurRad="254000" sx="102000" sy="102000" algn="ctr" rotWithShape="0">
              <a:prstClr val="black">
                <a:alpha val="20000"/>
              </a:prstClr>
            </a:outerShdw>
          </a:effectLst>
        </c:spPr>
      </c:pivotFmt>
      <c:pivotFmt>
        <c:idx val="95"/>
        <c:spPr>
          <a:solidFill>
            <a:schemeClr val="accent1"/>
          </a:solidFill>
          <a:ln>
            <a:noFill/>
          </a:ln>
          <a:effectLst>
            <a:outerShdw blurRad="254000" sx="102000" sy="102000" algn="ctr" rotWithShape="0">
              <a:prstClr val="black">
                <a:alpha val="20000"/>
              </a:prstClr>
            </a:outerShdw>
          </a:effectLst>
        </c:spPr>
      </c:pivotFmt>
      <c:pivotFmt>
        <c:idx val="9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24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7"/>
        <c:spPr>
          <a:solidFill>
            <a:schemeClr val="accent1"/>
          </a:solidFill>
          <a:ln>
            <a:noFill/>
          </a:ln>
          <a:effectLst>
            <a:outerShdw blurRad="254000" sx="102000" sy="102000" algn="ctr" rotWithShape="0">
              <a:prstClr val="black">
                <a:alpha val="20000"/>
              </a:prstClr>
            </a:outerShdw>
          </a:effectLst>
        </c:spPr>
        <c:dLbl>
          <c:idx val="0"/>
          <c:layout>
            <c:manualLayout>
              <c:x val="0.14500901425729013"/>
              <c:y val="8.700592646130797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24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95087"/>
                    <a:gd name="adj2" fmla="val 43229"/>
                  </a:avLst>
                </a:prstGeom>
                <a:pattFill prst="pct75">
                  <a:fgClr>
                    <a:schemeClr val="dk1">
                      <a:lumMod val="75000"/>
                      <a:lumOff val="25000"/>
                    </a:schemeClr>
                  </a:fgClr>
                  <a:bgClr>
                    <a:schemeClr val="dk1">
                      <a:lumMod val="65000"/>
                      <a:lumOff val="35000"/>
                    </a:schemeClr>
                  </a:bgClr>
                </a:pattFill>
                <a:ln>
                  <a:noFill/>
                </a:ln>
              </c15:spPr>
            </c:ext>
          </c:extLst>
        </c:dLbl>
      </c:pivotFmt>
      <c:pivotFmt>
        <c:idx val="98"/>
        <c:spPr>
          <a:solidFill>
            <a:schemeClr val="accent1"/>
          </a:solidFill>
          <a:ln>
            <a:noFill/>
          </a:ln>
          <a:effectLst>
            <a:outerShdw blurRad="254000" sx="102000" sy="102000" algn="ctr" rotWithShape="0">
              <a:prstClr val="black">
                <a:alpha val="20000"/>
              </a:prstClr>
            </a:outerShdw>
          </a:effectLst>
        </c:spPr>
      </c:pivotFmt>
      <c:pivotFmt>
        <c:idx val="99"/>
        <c:spPr>
          <a:solidFill>
            <a:schemeClr val="accent1"/>
          </a:solidFill>
          <a:ln>
            <a:noFill/>
          </a:ln>
          <a:effectLst>
            <a:outerShdw blurRad="254000" sx="102000" sy="102000" algn="ctr" rotWithShape="0">
              <a:prstClr val="black">
                <a:alpha val="20000"/>
              </a:prstClr>
            </a:outerShdw>
          </a:effectLst>
        </c:spPr>
      </c:pivotFmt>
      <c:pivotFmt>
        <c:idx val="100"/>
        <c:spPr>
          <a:solidFill>
            <a:schemeClr val="accent1"/>
          </a:solidFill>
          <a:ln>
            <a:noFill/>
          </a:ln>
          <a:effectLst>
            <a:outerShdw blurRad="254000" sx="102000" sy="102000" algn="ctr" rotWithShape="0">
              <a:prstClr val="black">
                <a:alpha val="20000"/>
              </a:prstClr>
            </a:outerShdw>
          </a:effectLst>
        </c:spPr>
      </c:pivotFmt>
      <c:pivotFmt>
        <c:idx val="10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24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2"/>
        <c:spPr>
          <a:solidFill>
            <a:schemeClr val="accent1"/>
          </a:solidFill>
          <a:ln>
            <a:noFill/>
          </a:ln>
          <a:effectLst>
            <a:outerShdw blurRad="254000" sx="102000" sy="102000" algn="ctr" rotWithShape="0">
              <a:prstClr val="black">
                <a:alpha val="20000"/>
              </a:prstClr>
            </a:outerShdw>
          </a:effectLst>
        </c:spPr>
      </c:pivotFmt>
      <c:pivotFmt>
        <c:idx val="103"/>
        <c:spPr>
          <a:solidFill>
            <a:schemeClr val="accent1"/>
          </a:solidFill>
          <a:ln>
            <a:noFill/>
          </a:ln>
          <a:effectLst>
            <a:outerShdw blurRad="254000" sx="102000" sy="102000" algn="ctr" rotWithShape="0">
              <a:prstClr val="black">
                <a:alpha val="20000"/>
              </a:prstClr>
            </a:outerShdw>
          </a:effectLst>
        </c:spPr>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pivotFmt>
      <c:pivotFmt>
        <c:idx val="10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24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pivotFmt>
      <c:pivotFmt>
        <c:idx val="1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24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2"/>
        <c:spPr>
          <a:solidFill>
            <a:schemeClr val="accent1"/>
          </a:solidFill>
          <a:ln>
            <a:noFill/>
          </a:ln>
          <a:effectLst>
            <a:outerShdw blurRad="254000" sx="102000" sy="102000" algn="ctr" rotWithShape="0">
              <a:prstClr val="black">
                <a:alpha val="20000"/>
              </a:prstClr>
            </a:outerShdw>
          </a:effectLst>
        </c:spPr>
      </c:pivotFmt>
      <c:pivotFmt>
        <c:idx val="113"/>
        <c:spPr>
          <a:solidFill>
            <a:schemeClr val="accent1"/>
          </a:solidFill>
          <a:ln>
            <a:noFill/>
          </a:ln>
          <a:effectLst>
            <a:outerShdw blurRad="254000" sx="102000" sy="102000" algn="ctr" rotWithShape="0">
              <a:prstClr val="black">
                <a:alpha val="20000"/>
              </a:prstClr>
            </a:outerShdw>
          </a:effectLst>
        </c:spPr>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24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7"/>
        <c:spPr>
          <a:solidFill>
            <a:schemeClr val="accent1"/>
          </a:solidFill>
          <a:ln>
            <a:noFill/>
          </a:ln>
          <a:effectLst>
            <a:outerShdw blurRad="254000" sx="102000" sy="102000" algn="ctr" rotWithShape="0">
              <a:prstClr val="black">
                <a:alpha val="20000"/>
              </a:prstClr>
            </a:outerShdw>
          </a:effectLst>
        </c:spPr>
      </c:pivotFmt>
      <c:pivotFmt>
        <c:idx val="118"/>
        <c:spPr>
          <a:solidFill>
            <a:schemeClr val="accent1"/>
          </a:solidFill>
          <a:ln>
            <a:noFill/>
          </a:ln>
          <a:effectLst>
            <a:outerShdw blurRad="254000" sx="102000" sy="102000" algn="ctr" rotWithShape="0">
              <a:prstClr val="black">
                <a:alpha val="20000"/>
              </a:prstClr>
            </a:outerShdw>
          </a:effectLst>
        </c:spPr>
      </c:pivotFmt>
      <c:pivotFmt>
        <c:idx val="119"/>
        <c:spPr>
          <a:solidFill>
            <a:schemeClr val="accent1"/>
          </a:solidFill>
          <a:ln>
            <a:noFill/>
          </a:ln>
          <a:effectLst>
            <a:outerShdw blurRad="254000" sx="102000" sy="102000" algn="ctr" rotWithShape="0">
              <a:prstClr val="black">
                <a:alpha val="20000"/>
              </a:prstClr>
            </a:outerShdw>
          </a:effectLst>
        </c:spPr>
      </c:pivotFmt>
      <c:pivotFmt>
        <c:idx val="120"/>
        <c:spPr>
          <a:solidFill>
            <a:schemeClr val="accent1"/>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24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22"/>
        <c:spPr>
          <a:solidFill>
            <a:schemeClr val="accent1"/>
          </a:solidFill>
          <a:ln>
            <a:noFill/>
          </a:ln>
          <a:effectLst>
            <a:outerShdw blurRad="254000" sx="102000" sy="102000" algn="ctr" rotWithShape="0">
              <a:prstClr val="black">
                <a:alpha val="20000"/>
              </a:prstClr>
            </a:outerShdw>
          </a:effectLst>
        </c:spPr>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Sheet1!$B$165:$B$166</c:f>
              <c:strCache>
                <c:ptCount val="1"/>
                <c:pt idx="0">
                  <c:v>Sony Liv</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838-4B4C-ADEC-1130A97B849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838-4B4C-ADEC-1130A97B849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838-4B4C-ADEC-1130A97B849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838-4B4C-ADEC-1130A97B849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24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Sheet1!$A$167:$A$171</c:f>
              <c:strCache>
                <c:ptCount val="4"/>
                <c:pt idx="0">
                  <c:v>10-19</c:v>
                </c:pt>
                <c:pt idx="1">
                  <c:v>20-29</c:v>
                </c:pt>
                <c:pt idx="2">
                  <c:v>30-39</c:v>
                </c:pt>
                <c:pt idx="3">
                  <c:v>40-50</c:v>
                </c:pt>
              </c:strCache>
            </c:strRef>
          </c:cat>
          <c:val>
            <c:numRef>
              <c:f>Sheet1!$B$167:$B$171</c:f>
              <c:numCache>
                <c:formatCode>General</c:formatCode>
                <c:ptCount val="4"/>
                <c:pt idx="0">
                  <c:v>1</c:v>
                </c:pt>
                <c:pt idx="1">
                  <c:v>16</c:v>
                </c:pt>
                <c:pt idx="2">
                  <c:v>10</c:v>
                </c:pt>
                <c:pt idx="3">
                  <c:v>18</c:v>
                </c:pt>
              </c:numCache>
            </c:numRef>
          </c:val>
          <c:extLst>
            <c:ext xmlns:c16="http://schemas.microsoft.com/office/drawing/2014/chart" uri="{C3380CC4-5D6E-409C-BE32-E72D297353CC}">
              <c16:uniqueId val="{00000008-E838-4B4C-ADEC-1130A97B8493}"/>
            </c:ext>
          </c:extLst>
        </c:ser>
        <c:dLbls>
          <c:dLblPos val="outEnd"/>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2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2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[Entartaintment Preferences Presentation.xlsx]Sheet1!PivotTable23</c:name>
    <c:fmtId val="21"/>
  </c:pivotSource>
  <c:chart>
    <c:title>
      <c:tx>
        <c:rich>
          <a:bodyPr rot="0" spcFirstLastPara="1" vertOverflow="ellipsis" vert="horz" wrap="square" anchor="ctr" anchorCtr="1"/>
          <a:lstStyle/>
          <a:p>
            <a:pPr>
              <a:defRPr sz="2880" b="1" i="0" u="none" strike="noStrike" kern="1200" baseline="0">
                <a:solidFill>
                  <a:schemeClr val="dk1">
                    <a:lumMod val="75000"/>
                    <a:lumOff val="25000"/>
                  </a:schemeClr>
                </a:solidFill>
                <a:latin typeface="+mn-lt"/>
                <a:ea typeface="+mn-ea"/>
                <a:cs typeface="+mn-cs"/>
              </a:defRPr>
            </a:pPr>
            <a:r>
              <a:rPr lang="en-US"/>
              <a:t>Event-Attendance</a:t>
            </a:r>
            <a:r>
              <a:rPr lang="en-US" baseline="0"/>
              <a:t> Per-Year By Age Group</a:t>
            </a:r>
            <a:endParaRPr lang="en-US"/>
          </a:p>
        </c:rich>
      </c:tx>
      <c:overlay val="0"/>
      <c:spPr>
        <a:noFill/>
        <a:ln>
          <a:noFill/>
        </a:ln>
        <a:effectLst/>
      </c:spPr>
      <c:txPr>
        <a:bodyPr rot="0" spcFirstLastPara="1" vertOverflow="ellipsis" vert="horz" wrap="square" anchor="ctr" anchorCtr="1"/>
        <a:lstStyle/>
        <a:p>
          <a:pPr>
            <a:defRPr sz="288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diamond"/>
          <c:size val="22"/>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diamond"/>
          <c:size val="22"/>
          <c:spPr>
            <a:solidFill>
              <a:schemeClr val="accent1"/>
            </a:solidFill>
            <a:ln>
              <a:noFill/>
            </a:ln>
            <a:effectLst/>
          </c:spPr>
        </c:marker>
      </c:pivotFmt>
      <c:pivotFmt>
        <c:idx val="2"/>
        <c:spPr>
          <a:solidFill>
            <a:schemeClr val="accent1">
              <a:alpha val="85000"/>
            </a:schemeClr>
          </a:solidFill>
          <a:ln w="31750" cap="rnd" cmpd="sng" algn="ctr">
            <a:solidFill>
              <a:schemeClr val="accent1"/>
            </a:solidFill>
            <a:round/>
          </a:ln>
          <a:effectLst/>
        </c:spPr>
        <c:marker>
          <c:symbol val="diamond"/>
          <c:size val="22"/>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diamond"/>
          <c:size val="22"/>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31750" cap="rnd" cmpd="sng" algn="ctr">
            <a:solidFill>
              <a:schemeClr val="accent1"/>
            </a:solidFill>
            <a:round/>
          </a:ln>
          <a:effectLst/>
        </c:spPr>
        <c:marker>
          <c:symbol val="diamond"/>
          <c:size val="22"/>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diamond"/>
          <c:size val="50"/>
          <c:spPr>
            <a:solidFill>
              <a:schemeClr val="accent1"/>
            </a:solidFill>
            <a:ln>
              <a:noFill/>
            </a:ln>
            <a:effectLst/>
          </c:spPr>
        </c:marker>
        <c:dLbl>
          <c:idx val="0"/>
          <c:spPr>
            <a:noFill/>
            <a:ln>
              <a:noFill/>
            </a:ln>
            <a:effectLst/>
          </c:spPr>
          <c:txPr>
            <a:bodyPr rot="0" spcFirstLastPara="1" vertOverflow="ellipsis" vert="horz" wrap="square" anchor="ctr" anchorCtr="1"/>
            <a:lstStyle/>
            <a:p>
              <a:pPr>
                <a:defRPr sz="24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Sheet1!$B$227</c:f>
              <c:strCache>
                <c:ptCount val="1"/>
                <c:pt idx="0">
                  <c:v>Total</c:v>
                </c:pt>
              </c:strCache>
            </c:strRef>
          </c:tx>
          <c:spPr>
            <a:ln w="31750" cap="rnd">
              <a:solidFill>
                <a:schemeClr val="accent1"/>
              </a:solidFill>
              <a:round/>
            </a:ln>
            <a:effectLst/>
          </c:spPr>
          <c:marker>
            <c:symbol val="diamond"/>
            <c:size val="50"/>
            <c:spPr>
              <a:solidFill>
                <a:schemeClr val="accent1"/>
              </a:solidFill>
              <a:ln>
                <a:noFill/>
              </a:ln>
              <a:effectLst/>
            </c:spPr>
          </c:marker>
          <c:dLbls>
            <c:spPr>
              <a:noFill/>
              <a:ln>
                <a:noFill/>
              </a:ln>
              <a:effectLst/>
            </c:spPr>
            <c:txPr>
              <a:bodyPr rot="0" spcFirstLastPara="1" vertOverflow="ellipsis" vert="horz" wrap="square" anchor="ctr" anchorCtr="1"/>
              <a:lstStyle/>
              <a:p>
                <a:pPr>
                  <a:defRPr sz="24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Sheet1!$A$228:$A$232</c:f>
              <c:strCache>
                <c:ptCount val="4"/>
                <c:pt idx="0">
                  <c:v>10-19</c:v>
                </c:pt>
                <c:pt idx="1">
                  <c:v>20-29</c:v>
                </c:pt>
                <c:pt idx="2">
                  <c:v>30-39</c:v>
                </c:pt>
                <c:pt idx="3">
                  <c:v>40-50</c:v>
                </c:pt>
              </c:strCache>
            </c:strRef>
          </c:cat>
          <c:val>
            <c:numRef>
              <c:f>Sheet1!$B$228:$B$232</c:f>
              <c:numCache>
                <c:formatCode>General</c:formatCode>
                <c:ptCount val="4"/>
                <c:pt idx="0">
                  <c:v>43</c:v>
                </c:pt>
                <c:pt idx="1">
                  <c:v>428</c:v>
                </c:pt>
                <c:pt idx="2">
                  <c:v>338</c:v>
                </c:pt>
                <c:pt idx="3">
                  <c:v>471</c:v>
                </c:pt>
              </c:numCache>
            </c:numRef>
          </c:val>
          <c:smooth val="0"/>
          <c:extLst>
            <c:ext xmlns:c16="http://schemas.microsoft.com/office/drawing/2014/chart" uri="{C3380CC4-5D6E-409C-BE32-E72D297353CC}">
              <c16:uniqueId val="{00000000-3126-4EE6-A8D6-0D4510095ED4}"/>
            </c:ext>
          </c:extLst>
        </c:ser>
        <c:dLbls>
          <c:dLblPos val="ctr"/>
          <c:showLegendKey val="0"/>
          <c:showVal val="1"/>
          <c:showCatName val="0"/>
          <c:showSerName val="0"/>
          <c:showPercent val="0"/>
          <c:showBubbleSize val="0"/>
        </c:dLbls>
        <c:marker val="1"/>
        <c:smooth val="0"/>
        <c:axId val="166442336"/>
        <c:axId val="166446656"/>
      </c:lineChart>
      <c:catAx>
        <c:axId val="1664423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2400" b="0" i="0" u="none" strike="noStrike" kern="1200" cap="all" baseline="0">
                <a:solidFill>
                  <a:schemeClr val="dk1">
                    <a:lumMod val="75000"/>
                    <a:lumOff val="25000"/>
                  </a:schemeClr>
                </a:solidFill>
                <a:latin typeface="+mn-lt"/>
                <a:ea typeface="+mn-ea"/>
                <a:cs typeface="+mn-cs"/>
              </a:defRPr>
            </a:pPr>
            <a:endParaRPr lang="en-US"/>
          </a:p>
        </c:txPr>
        <c:crossAx val="166446656"/>
        <c:crosses val="autoZero"/>
        <c:auto val="1"/>
        <c:lblAlgn val="ctr"/>
        <c:lblOffset val="100"/>
        <c:noMultiLvlLbl val="0"/>
      </c:catAx>
      <c:valAx>
        <c:axId val="166446656"/>
        <c:scaling>
          <c:orientation val="minMax"/>
        </c:scaling>
        <c:delete val="1"/>
        <c:axPos val="l"/>
        <c:numFmt formatCode="General" sourceLinked="1"/>
        <c:majorTickMark val="none"/>
        <c:minorTickMark val="none"/>
        <c:tickLblPos val="nextTo"/>
        <c:crossAx val="16644233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2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r>
              <a:rPr lang="en-US" sz="2800"/>
              <a:t>Count of Preferred_Platform</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tx>
            <c:strRef>
              <c:f>Sheet1!$B$198</c:f>
              <c:strCache>
                <c:ptCount val="1"/>
                <c:pt idx="0">
                  <c:v>Count of Preferred_Platform</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52A-4082-8CF2-89A73E4F41A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52A-4082-8CF2-89A73E4F41A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52A-4082-8CF2-89A73E4F41A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52A-4082-8CF2-89A73E4F41A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52A-4082-8CF2-89A73E4F41AE}"/>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52A-4082-8CF2-89A73E4F41A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2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Sheet1!$A$199:$A$204</c:f>
              <c:strCache>
                <c:ptCount val="6"/>
                <c:pt idx="0">
                  <c:v>Amazon Prime</c:v>
                </c:pt>
                <c:pt idx="1">
                  <c:v>Disney+</c:v>
                </c:pt>
                <c:pt idx="2">
                  <c:v>Hotstar</c:v>
                </c:pt>
                <c:pt idx="3">
                  <c:v>Netflix</c:v>
                </c:pt>
                <c:pt idx="4">
                  <c:v>Sony Liv</c:v>
                </c:pt>
                <c:pt idx="5">
                  <c:v>Zee5</c:v>
                </c:pt>
              </c:strCache>
            </c:strRef>
          </c:cat>
          <c:val>
            <c:numRef>
              <c:f>Sheet1!$B$199:$B$204</c:f>
              <c:numCache>
                <c:formatCode>General</c:formatCode>
                <c:ptCount val="6"/>
                <c:pt idx="0">
                  <c:v>34</c:v>
                </c:pt>
                <c:pt idx="1">
                  <c:v>46</c:v>
                </c:pt>
                <c:pt idx="2">
                  <c:v>49</c:v>
                </c:pt>
                <c:pt idx="3">
                  <c:v>29</c:v>
                </c:pt>
                <c:pt idx="4">
                  <c:v>45</c:v>
                </c:pt>
                <c:pt idx="5">
                  <c:v>47</c:v>
                </c:pt>
              </c:numCache>
            </c:numRef>
          </c:val>
          <c:extLst>
            <c:ext xmlns:c16="http://schemas.microsoft.com/office/drawing/2014/chart" uri="{C3380CC4-5D6E-409C-BE32-E72D297353CC}">
              <c16:uniqueId val="{0000000C-F52A-4082-8CF2-89A73E4F41A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20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2000"/>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[Entartaintment Preferences Presentation.xlsx]Sheet1!PivotTable24</c:name>
    <c:fmtId val="17"/>
  </c:pivotSource>
  <c:chart>
    <c:title>
      <c:tx>
        <c:rich>
          <a:bodyPr rot="0" spcFirstLastPara="1" vertOverflow="ellipsis" vert="horz" wrap="square" anchor="ctr" anchorCtr="1"/>
          <a:lstStyle/>
          <a:p>
            <a:pPr>
              <a:defRPr sz="2880" b="1" i="0" u="none" strike="noStrike" kern="1200" baseline="0">
                <a:solidFill>
                  <a:schemeClr val="dk1">
                    <a:lumMod val="75000"/>
                    <a:lumOff val="25000"/>
                  </a:schemeClr>
                </a:solidFill>
                <a:latin typeface="+mn-lt"/>
                <a:ea typeface="+mn-ea"/>
                <a:cs typeface="+mn-cs"/>
              </a:defRPr>
            </a:pPr>
            <a:r>
              <a:rPr lang="en-US" sz="3600" b="1"/>
              <a:t>Event Attendance Per-Year By The Gender</a:t>
            </a:r>
          </a:p>
        </c:rich>
      </c:tx>
      <c:overlay val="0"/>
      <c:spPr>
        <a:noFill/>
        <a:ln>
          <a:noFill/>
        </a:ln>
        <a:effectLst/>
      </c:spPr>
      <c:txPr>
        <a:bodyPr rot="0" spcFirstLastPara="1" vertOverflow="ellipsis" vert="horz" wrap="square" anchor="ctr" anchorCtr="1"/>
        <a:lstStyle/>
        <a:p>
          <a:pPr>
            <a:defRPr sz="288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24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Sheet1!$B$256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A28-4059-8714-FB6D04DC596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A28-4059-8714-FB6D04DC596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24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Sheet1!$A$257:$A$259</c:f>
              <c:strCache>
                <c:ptCount val="2"/>
                <c:pt idx="0">
                  <c:v>Female</c:v>
                </c:pt>
                <c:pt idx="1">
                  <c:v>Male</c:v>
                </c:pt>
              </c:strCache>
            </c:strRef>
          </c:cat>
          <c:val>
            <c:numRef>
              <c:f>Sheet1!$B$257:$B$259</c:f>
              <c:numCache>
                <c:formatCode>General</c:formatCode>
                <c:ptCount val="2"/>
                <c:pt idx="0">
                  <c:v>659</c:v>
                </c:pt>
                <c:pt idx="1">
                  <c:v>621</c:v>
                </c:pt>
              </c:numCache>
            </c:numRef>
          </c:val>
          <c:extLst>
            <c:ext xmlns:c16="http://schemas.microsoft.com/office/drawing/2014/chart" uri="{C3380CC4-5D6E-409C-BE32-E72D297353CC}">
              <c16:uniqueId val="{00000004-4A28-4059-8714-FB6D04DC5965}"/>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2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840" b="0" i="0" u="none" strike="noStrike" kern="1200" spc="0" baseline="0">
                <a:solidFill>
                  <a:schemeClr val="tx1">
                    <a:lumMod val="65000"/>
                    <a:lumOff val="35000"/>
                  </a:schemeClr>
                </a:solidFill>
                <a:latin typeface="+mn-lt"/>
                <a:ea typeface="+mn-ea"/>
                <a:cs typeface="+mn-cs"/>
              </a:defRPr>
            </a:pPr>
            <a:r>
              <a:rPr lang="en-US" b="1"/>
              <a:t>Count of Favorite_Music_Genre</a:t>
            </a:r>
          </a:p>
        </c:rich>
      </c:tx>
      <c:overlay val="0"/>
      <c:spPr>
        <a:noFill/>
        <a:ln>
          <a:noFill/>
        </a:ln>
        <a:effectLst/>
      </c:spPr>
      <c:txPr>
        <a:bodyPr rot="0" spcFirstLastPara="1" vertOverflow="ellipsis" vert="horz" wrap="square" anchor="ctr" anchorCtr="1"/>
        <a:lstStyle/>
        <a:p>
          <a:pPr>
            <a:defRPr sz="38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Sheet1!$B$286</c:f>
              <c:strCache>
                <c:ptCount val="1"/>
                <c:pt idx="0">
                  <c:v>Count of Favorite_Music_Genre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Sheet1!$A$287:$A$290</c:f>
              <c:strCache>
                <c:ptCount val="4"/>
                <c:pt idx="0">
                  <c:v>10-19</c:v>
                </c:pt>
                <c:pt idx="1">
                  <c:v>20-29</c:v>
                </c:pt>
                <c:pt idx="2">
                  <c:v>30-39</c:v>
                </c:pt>
                <c:pt idx="3">
                  <c:v>40-50</c:v>
                </c:pt>
              </c:strCache>
            </c:strRef>
          </c:cat>
          <c:val>
            <c:numRef>
              <c:f>Sheet1!$B$287:$B$290</c:f>
              <c:numCache>
                <c:formatCode>General</c:formatCode>
                <c:ptCount val="4"/>
                <c:pt idx="0">
                  <c:v>12</c:v>
                </c:pt>
                <c:pt idx="1">
                  <c:v>78</c:v>
                </c:pt>
                <c:pt idx="2">
                  <c:v>77</c:v>
                </c:pt>
                <c:pt idx="3">
                  <c:v>83</c:v>
                </c:pt>
              </c:numCache>
            </c:numRef>
          </c:val>
          <c:extLst>
            <c:ext xmlns:c16="http://schemas.microsoft.com/office/drawing/2014/chart" uri="{C3380CC4-5D6E-409C-BE32-E72D297353CC}">
              <c16:uniqueId val="{00000000-94B5-4903-81C3-731BD22FCB80}"/>
            </c:ext>
          </c:extLst>
        </c:ser>
        <c:dLbls>
          <c:dLblPos val="outEnd"/>
          <c:showLegendKey val="0"/>
          <c:showVal val="1"/>
          <c:showCatName val="0"/>
          <c:showSerName val="0"/>
          <c:showPercent val="0"/>
          <c:showBubbleSize val="0"/>
        </c:dLbls>
        <c:gapWidth val="182"/>
        <c:axId val="839653504"/>
        <c:axId val="839664544"/>
      </c:barChart>
      <c:catAx>
        <c:axId val="839653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crossAx val="839664544"/>
        <c:crosses val="autoZero"/>
        <c:auto val="1"/>
        <c:lblAlgn val="ctr"/>
        <c:lblOffset val="100"/>
        <c:noMultiLvlLbl val="0"/>
      </c:catAx>
      <c:valAx>
        <c:axId val="839664544"/>
        <c:scaling>
          <c:orientation val="minMax"/>
        </c:scaling>
        <c:delete val="1"/>
        <c:axPos val="b"/>
        <c:numFmt formatCode="General" sourceLinked="1"/>
        <c:majorTickMark val="none"/>
        <c:minorTickMark val="none"/>
        <c:tickLblPos val="nextTo"/>
        <c:crossAx val="839653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3200"/>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[Entartaintment Preferences Presentation.xlsx]Sheet1!PivotTable28</c:name>
    <c:fmtId val="7"/>
  </c:pivotSource>
  <c:chart>
    <c:title>
      <c:tx>
        <c:rich>
          <a:bodyPr rot="0" spcFirstLastPara="1" vertOverflow="ellipsis" vert="horz" wrap="square" anchor="ctr" anchorCtr="1"/>
          <a:lstStyle/>
          <a:p>
            <a:pPr>
              <a:defRPr sz="3840" b="1" i="0" u="none" strike="noStrike" kern="1200" baseline="0">
                <a:solidFill>
                  <a:schemeClr val="dk1">
                    <a:lumMod val="75000"/>
                    <a:lumOff val="25000"/>
                  </a:schemeClr>
                </a:solidFill>
                <a:latin typeface="+mn-lt"/>
                <a:ea typeface="+mn-ea"/>
                <a:cs typeface="+mn-cs"/>
              </a:defRPr>
            </a:pPr>
            <a:r>
              <a:rPr lang="en-US"/>
              <a:t> Favorite Music_Genre By The Age Group</a:t>
            </a:r>
          </a:p>
        </c:rich>
      </c:tx>
      <c:overlay val="0"/>
      <c:spPr>
        <a:noFill/>
        <a:ln>
          <a:noFill/>
        </a:ln>
        <a:effectLst/>
      </c:spPr>
      <c:txPr>
        <a:bodyPr rot="0" spcFirstLastPara="1" vertOverflow="ellipsis" vert="horz" wrap="square" anchor="ctr" anchorCtr="1"/>
        <a:lstStyle/>
        <a:p>
          <a:pPr>
            <a:defRPr sz="384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32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Sheet1!$B$316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1A2-4B3C-86D0-1DB6AE93D03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1A2-4B3C-86D0-1DB6AE93D03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32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Sheet1!$A$317:$A$319</c:f>
              <c:strCache>
                <c:ptCount val="2"/>
                <c:pt idx="0">
                  <c:v>Female</c:v>
                </c:pt>
                <c:pt idx="1">
                  <c:v>Male</c:v>
                </c:pt>
              </c:strCache>
            </c:strRef>
          </c:cat>
          <c:val>
            <c:numRef>
              <c:f>Sheet1!$B$317:$B$319</c:f>
              <c:numCache>
                <c:formatCode>General</c:formatCode>
                <c:ptCount val="2"/>
                <c:pt idx="0">
                  <c:v>130</c:v>
                </c:pt>
                <c:pt idx="1">
                  <c:v>120</c:v>
                </c:pt>
              </c:numCache>
            </c:numRef>
          </c:val>
          <c:extLst>
            <c:ext xmlns:c16="http://schemas.microsoft.com/office/drawing/2014/chart" uri="{C3380CC4-5D6E-409C-BE32-E72D297353CC}">
              <c16:uniqueId val="{00000004-71A2-4B3C-86D0-1DB6AE93D03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32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3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[Entartaintment Preferences Presentation.xlsx]Sheet1!PivotTable29</c:name>
    <c:fmtId val="13"/>
  </c:pivotSource>
  <c:chart>
    <c:title>
      <c:tx>
        <c:rich>
          <a:bodyPr rot="0" spcFirstLastPara="1" vertOverflow="ellipsis" vert="horz" wrap="square" anchor="ctr" anchorCtr="1"/>
          <a:lstStyle/>
          <a:p>
            <a:pPr>
              <a:defRPr sz="4800" b="1" i="0" u="none" strike="noStrike" kern="1200" baseline="0">
                <a:solidFill>
                  <a:schemeClr val="dk1">
                    <a:lumMod val="75000"/>
                    <a:lumOff val="25000"/>
                  </a:schemeClr>
                </a:solidFill>
                <a:latin typeface="+mn-lt"/>
                <a:ea typeface="+mn-ea"/>
                <a:cs typeface="+mn-cs"/>
              </a:defRPr>
            </a:pPr>
            <a:r>
              <a:rPr lang="en-US"/>
              <a:t>Count</a:t>
            </a:r>
            <a:r>
              <a:rPr lang="en-US" baseline="0"/>
              <a:t> Of Preffered Platform By Gender</a:t>
            </a:r>
            <a:endParaRPr lang="en-US"/>
          </a:p>
        </c:rich>
      </c:tx>
      <c:overlay val="0"/>
      <c:spPr>
        <a:noFill/>
        <a:ln>
          <a:noFill/>
        </a:ln>
        <a:effectLst/>
      </c:spPr>
      <c:txPr>
        <a:bodyPr rot="0" spcFirstLastPara="1" vertOverflow="ellipsis" vert="horz" wrap="square" anchor="ctr" anchorCtr="1"/>
        <a:lstStyle/>
        <a:p>
          <a:pPr>
            <a:defRPr sz="4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4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4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4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4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4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4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Sheet1!$B$345:$B$346</c:f>
              <c:strCache>
                <c:ptCount val="1"/>
                <c:pt idx="0">
                  <c:v>Amazon Prime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4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Sheet1!$A$347:$A$349</c:f>
              <c:strCache>
                <c:ptCount val="2"/>
                <c:pt idx="0">
                  <c:v>Female</c:v>
                </c:pt>
                <c:pt idx="1">
                  <c:v>Male</c:v>
                </c:pt>
              </c:strCache>
            </c:strRef>
          </c:cat>
          <c:val>
            <c:numRef>
              <c:f>Sheet1!$B$347:$B$349</c:f>
              <c:numCache>
                <c:formatCode>General</c:formatCode>
                <c:ptCount val="2"/>
                <c:pt idx="0">
                  <c:v>18</c:v>
                </c:pt>
                <c:pt idx="1">
                  <c:v>16</c:v>
                </c:pt>
              </c:numCache>
            </c:numRef>
          </c:val>
          <c:extLst>
            <c:ext xmlns:c16="http://schemas.microsoft.com/office/drawing/2014/chart" uri="{C3380CC4-5D6E-409C-BE32-E72D297353CC}">
              <c16:uniqueId val="{00000000-D35F-4D62-814E-5E24BD2151BC}"/>
            </c:ext>
          </c:extLst>
        </c:ser>
        <c:ser>
          <c:idx val="1"/>
          <c:order val="1"/>
          <c:tx>
            <c:strRef>
              <c:f>Sheet1!$C$345:$C$346</c:f>
              <c:strCache>
                <c:ptCount val="1"/>
                <c:pt idx="0">
                  <c:v>Disney+</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4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Sheet1!$A$347:$A$349</c:f>
              <c:strCache>
                <c:ptCount val="2"/>
                <c:pt idx="0">
                  <c:v>Female</c:v>
                </c:pt>
                <c:pt idx="1">
                  <c:v>Male</c:v>
                </c:pt>
              </c:strCache>
            </c:strRef>
          </c:cat>
          <c:val>
            <c:numRef>
              <c:f>Sheet1!$C$347:$C$349</c:f>
              <c:numCache>
                <c:formatCode>General</c:formatCode>
                <c:ptCount val="2"/>
                <c:pt idx="0">
                  <c:v>29</c:v>
                </c:pt>
                <c:pt idx="1">
                  <c:v>17</c:v>
                </c:pt>
              </c:numCache>
            </c:numRef>
          </c:val>
          <c:extLst>
            <c:ext xmlns:c16="http://schemas.microsoft.com/office/drawing/2014/chart" uri="{C3380CC4-5D6E-409C-BE32-E72D297353CC}">
              <c16:uniqueId val="{0000000C-D35F-4D62-814E-5E24BD2151BC}"/>
            </c:ext>
          </c:extLst>
        </c:ser>
        <c:ser>
          <c:idx val="2"/>
          <c:order val="2"/>
          <c:tx>
            <c:strRef>
              <c:f>Sheet1!$D$345:$D$346</c:f>
              <c:strCache>
                <c:ptCount val="1"/>
                <c:pt idx="0">
                  <c:v>Hotstar</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4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Sheet1!$A$347:$A$349</c:f>
              <c:strCache>
                <c:ptCount val="2"/>
                <c:pt idx="0">
                  <c:v>Female</c:v>
                </c:pt>
                <c:pt idx="1">
                  <c:v>Male</c:v>
                </c:pt>
              </c:strCache>
            </c:strRef>
          </c:cat>
          <c:val>
            <c:numRef>
              <c:f>Sheet1!$D$347:$D$349</c:f>
              <c:numCache>
                <c:formatCode>General</c:formatCode>
                <c:ptCount val="2"/>
                <c:pt idx="0">
                  <c:v>30</c:v>
                </c:pt>
                <c:pt idx="1">
                  <c:v>19</c:v>
                </c:pt>
              </c:numCache>
            </c:numRef>
          </c:val>
          <c:extLst>
            <c:ext xmlns:c16="http://schemas.microsoft.com/office/drawing/2014/chart" uri="{C3380CC4-5D6E-409C-BE32-E72D297353CC}">
              <c16:uniqueId val="{0000000D-D35F-4D62-814E-5E24BD2151BC}"/>
            </c:ext>
          </c:extLst>
        </c:ser>
        <c:ser>
          <c:idx val="3"/>
          <c:order val="3"/>
          <c:tx>
            <c:strRef>
              <c:f>Sheet1!$E$345:$E$346</c:f>
              <c:strCache>
                <c:ptCount val="1"/>
                <c:pt idx="0">
                  <c:v>Netflix</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4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Sheet1!$A$347:$A$349</c:f>
              <c:strCache>
                <c:ptCount val="2"/>
                <c:pt idx="0">
                  <c:v>Female</c:v>
                </c:pt>
                <c:pt idx="1">
                  <c:v>Male</c:v>
                </c:pt>
              </c:strCache>
            </c:strRef>
          </c:cat>
          <c:val>
            <c:numRef>
              <c:f>Sheet1!$E$347:$E$349</c:f>
              <c:numCache>
                <c:formatCode>General</c:formatCode>
                <c:ptCount val="2"/>
                <c:pt idx="0">
                  <c:v>13</c:v>
                </c:pt>
                <c:pt idx="1">
                  <c:v>16</c:v>
                </c:pt>
              </c:numCache>
            </c:numRef>
          </c:val>
          <c:extLst>
            <c:ext xmlns:c16="http://schemas.microsoft.com/office/drawing/2014/chart" uri="{C3380CC4-5D6E-409C-BE32-E72D297353CC}">
              <c16:uniqueId val="{0000000E-D35F-4D62-814E-5E24BD2151BC}"/>
            </c:ext>
          </c:extLst>
        </c:ser>
        <c:ser>
          <c:idx val="4"/>
          <c:order val="4"/>
          <c:tx>
            <c:strRef>
              <c:f>Sheet1!$F$345:$F$346</c:f>
              <c:strCache>
                <c:ptCount val="1"/>
                <c:pt idx="0">
                  <c:v>Sony Liv</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4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Sheet1!$A$347:$A$349</c:f>
              <c:strCache>
                <c:ptCount val="2"/>
                <c:pt idx="0">
                  <c:v>Female</c:v>
                </c:pt>
                <c:pt idx="1">
                  <c:v>Male</c:v>
                </c:pt>
              </c:strCache>
            </c:strRef>
          </c:cat>
          <c:val>
            <c:numRef>
              <c:f>Sheet1!$F$347:$F$349</c:f>
              <c:numCache>
                <c:formatCode>General</c:formatCode>
                <c:ptCount val="2"/>
                <c:pt idx="0">
                  <c:v>20</c:v>
                </c:pt>
                <c:pt idx="1">
                  <c:v>25</c:v>
                </c:pt>
              </c:numCache>
            </c:numRef>
          </c:val>
          <c:extLst>
            <c:ext xmlns:c16="http://schemas.microsoft.com/office/drawing/2014/chart" uri="{C3380CC4-5D6E-409C-BE32-E72D297353CC}">
              <c16:uniqueId val="{0000000F-D35F-4D62-814E-5E24BD2151BC}"/>
            </c:ext>
          </c:extLst>
        </c:ser>
        <c:ser>
          <c:idx val="5"/>
          <c:order val="5"/>
          <c:tx>
            <c:strRef>
              <c:f>Sheet1!$G$345:$G$346</c:f>
              <c:strCache>
                <c:ptCount val="1"/>
                <c:pt idx="0">
                  <c:v>Zee5</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4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Sheet1!$A$347:$A$349</c:f>
              <c:strCache>
                <c:ptCount val="2"/>
                <c:pt idx="0">
                  <c:v>Female</c:v>
                </c:pt>
                <c:pt idx="1">
                  <c:v>Male</c:v>
                </c:pt>
              </c:strCache>
            </c:strRef>
          </c:cat>
          <c:val>
            <c:numRef>
              <c:f>Sheet1!$G$347:$G$349</c:f>
              <c:numCache>
                <c:formatCode>General</c:formatCode>
                <c:ptCount val="2"/>
                <c:pt idx="0">
                  <c:v>20</c:v>
                </c:pt>
                <c:pt idx="1">
                  <c:v>27</c:v>
                </c:pt>
              </c:numCache>
            </c:numRef>
          </c:val>
          <c:extLst>
            <c:ext xmlns:c16="http://schemas.microsoft.com/office/drawing/2014/chart" uri="{C3380CC4-5D6E-409C-BE32-E72D297353CC}">
              <c16:uniqueId val="{00000010-D35F-4D62-814E-5E24BD2151BC}"/>
            </c:ext>
          </c:extLst>
        </c:ser>
        <c:dLbls>
          <c:dLblPos val="ctr"/>
          <c:showLegendKey val="0"/>
          <c:showVal val="1"/>
          <c:showCatName val="0"/>
          <c:showSerName val="0"/>
          <c:showPercent val="0"/>
          <c:showBubbleSize val="0"/>
        </c:dLbls>
        <c:gapWidth val="150"/>
        <c:overlap val="100"/>
        <c:axId val="489279776"/>
        <c:axId val="489280736"/>
      </c:barChart>
      <c:catAx>
        <c:axId val="48927977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4000" b="0" i="0" u="none" strike="noStrike" kern="1200" cap="all" baseline="0">
                <a:solidFill>
                  <a:schemeClr val="dk1">
                    <a:lumMod val="75000"/>
                    <a:lumOff val="25000"/>
                  </a:schemeClr>
                </a:solidFill>
                <a:latin typeface="+mn-lt"/>
                <a:ea typeface="+mn-ea"/>
                <a:cs typeface="+mn-cs"/>
              </a:defRPr>
            </a:pPr>
            <a:endParaRPr lang="en-US"/>
          </a:p>
        </c:txPr>
        <c:crossAx val="489280736"/>
        <c:crosses val="autoZero"/>
        <c:auto val="1"/>
        <c:lblAlgn val="ctr"/>
        <c:lblOffset val="100"/>
        <c:noMultiLvlLbl val="0"/>
      </c:catAx>
      <c:valAx>
        <c:axId val="489280736"/>
        <c:scaling>
          <c:orientation val="minMax"/>
        </c:scaling>
        <c:delete val="1"/>
        <c:axPos val="l"/>
        <c:numFmt formatCode="General" sourceLinked="1"/>
        <c:majorTickMark val="out"/>
        <c:minorTickMark val="none"/>
        <c:tickLblPos val="nextTo"/>
        <c:crossAx val="4892797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40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4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plotArea>
      <cx:plotAreaRegion>
        <cx:series layoutId="boxWhisker" uniqueId="{63E729C5-CF20-4EF8-954D-43A6456203CB}" formatIdx="0">
          <cx:tx>
            <cx:txData>
              <cx:f>_xlchart.v1.7</cx:f>
              <cx:v>Monthly_Entertainment_Spend</cx:v>
            </cx:txData>
          </cx:tx>
          <cx:spPr>
            <a:solidFill>
              <a:schemeClr val="accent1"/>
            </a:solidFill>
          </cx:spPr>
          <cx:dataId val="0"/>
          <cx:layoutPr>
            <cx:visibility meanLine="0" meanMarker="1" nonoutliers="0" outliers="1"/>
            <cx:statistics quartileMethod="exclusive"/>
          </cx:layoutPr>
        </cx:series>
      </cx:plotAreaRegion>
      <cx:axis id="0">
        <cx:catScaling gapWidth="1.5"/>
        <cx:tickLabels/>
      </cx:axis>
      <cx:axis id="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Pr>
        <a:bodyPr spcFirstLastPara="1" vertOverflow="ellipsis" horzOverflow="overflow" wrap="square" lIns="0" tIns="0" rIns="0" bIns="0" anchor="ctr" anchorCtr="1"/>
        <a:lstStyle/>
        <a:p>
          <a:pPr algn="ctr" rtl="0">
            <a:defRPr/>
          </a:pPr>
          <a:endParaRPr lang="en-US" sz="1800" b="1" i="0" u="none" strike="noStrike" baseline="0">
            <a:solidFill>
              <a:sysClr val="windowText" lastClr="000000">
                <a:lumMod val="75000"/>
                <a:lumOff val="25000"/>
              </a:sysClr>
            </a:solidFill>
            <a:latin typeface="Aptos Narrow" panose="02110004020202020204"/>
          </a:endParaRPr>
        </a:p>
      </cx:txPr>
    </cx:title>
    <cx:plotArea>
      <cx:plotAreaRegion>
        <cx:series layoutId="boxWhisker" uniqueId="{F41C93FD-3114-4C42-B34D-72C83815DE72}">
          <cx:tx>
            <cx:txData>
              <cx:f>_xlchart.v1.4</cx:f>
              <cx:v>Streaming_Hours_per_Week</cx:v>
            </cx:txData>
          </cx:tx>
          <cx:dataId val="0"/>
          <cx:layoutPr>
            <cx:visibility meanLine="0" meanMarker="1" nonoutliers="0" outliers="1"/>
            <cx:statistics quartileMethod="exclusive"/>
          </cx:layoutPr>
        </cx:series>
      </cx:plotAreaRegion>
      <cx:axis id="0">
        <cx:catScaling gapWidth="1.5"/>
        <cx:tickLabels/>
      </cx:axis>
      <cx:axis id="1">
        <cx:valScaling/>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chartData>
  <cx:chart>
    <cx:plotArea>
      <cx:plotAreaRegion>
        <cx:series layoutId="boxWhisker" uniqueId="{EA136D27-9DE8-44EA-B1EA-1AFFBB62B6E6}">
          <cx:tx>
            <cx:txData>
              <cx:f>_xlchart.v1.10</cx:f>
              <cx:v>Monthly_Entertainment_Spend</cx:v>
            </cx:txData>
          </cx:tx>
          <cx:dataId val="0"/>
          <cx:layoutPr>
            <cx:visibility meanLine="0" meanMarker="0" nonoutliers="0" outliers="1"/>
            <cx:statistics quartileMethod="exclusive"/>
          </cx:layoutPr>
        </cx:series>
      </cx:plotAreaRegion>
      <cx:axis id="0">
        <cx:catScaling gapWidth="1.5"/>
        <cx:tickLabels/>
      </cx:axis>
      <cx:axis id="1">
        <cx:valScaling/>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boxWhisker" uniqueId="{3E06077B-0C8F-4AF1-921B-A2E05CE9AED4}">
          <cx:tx>
            <cx:txData>
              <cx:f>_xlchart.v1.1</cx:f>
              <cx:v>Streaming_Hours_per_Week</cx:v>
            </cx:txData>
          </cx:tx>
          <cx:dataId val="0"/>
          <cx:layoutPr>
            <cx:visibility meanLine="0" meanMarker="1" nonoutliers="0" outliers="1"/>
            <cx:statistics quartileMethod="exclusive"/>
          </cx:layoutPr>
        </cx:series>
      </cx:plotAreaRegion>
      <cx:axis id="0">
        <cx:catScaling gapWidth="1.5"/>
        <cx:tickLabels/>
      </cx:axis>
      <cx:axis id="1">
        <cx:valScaling/>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val">
        <cx:f>_xlchart.v1.14</cx:f>
      </cx:numDim>
    </cx:data>
  </cx:chartData>
  <cx:chart>
    <cx:title pos="t" align="ctr" overlay="0">
      <cx:tx>
        <cx:txData>
          <cx:v>Monthly Entertainment By Gender</cx:v>
        </cx:txData>
      </cx:tx>
      <cx:txPr>
        <a:bodyPr spcFirstLastPara="1" vertOverflow="ellipsis" horzOverflow="overflow" wrap="square" lIns="0" tIns="0" rIns="0" bIns="0" anchor="ctr" anchorCtr="1"/>
        <a:lstStyle/>
        <a:p>
          <a:pPr algn="ctr" rtl="0">
            <a:defRPr/>
          </a:pPr>
          <a:r>
            <a:rPr lang="en-US" sz="4000" b="1" i="0" u="none" strike="noStrike" baseline="0">
              <a:solidFill>
                <a:sysClr val="windowText" lastClr="000000">
                  <a:lumMod val="75000"/>
                  <a:lumOff val="25000"/>
                </a:sysClr>
              </a:solidFill>
              <a:latin typeface="Aptos Narrow" panose="02110004020202020204"/>
            </a:rPr>
            <a:t>Monthly Entertainment By Gender</a:t>
          </a:r>
        </a:p>
      </cx:txPr>
    </cx:title>
    <cx:plotArea>
      <cx:plotAreaRegion>
        <cx:series layoutId="boxWhisker" uniqueId="{63E729C5-CF20-4EF8-954D-43A6456203CB}" formatIdx="0">
          <cx:tx>
            <cx:txData>
              <cx:f>_xlchart.v1.13</cx:f>
              <cx:v>Monthly_Entertainment_Spend</cx:v>
            </cx:txData>
          </cx:tx>
          <cx:spPr>
            <a:solidFill>
              <a:schemeClr val="accent1"/>
            </a:solidFill>
          </cx:spPr>
          <cx:dataId val="0"/>
          <cx:layoutPr>
            <cx:visibility meanLine="0" meanMarker="1" nonoutliers="0" outliers="1"/>
            <cx:statistics quartileMethod="exclusive"/>
          </cx:layoutPr>
        </cx:series>
      </cx:plotAreaRegion>
      <cx:axis id="0">
        <cx:catScaling gapWidth="1.5"/>
        <cx:tickLabels/>
        <cx:txPr>
          <a:bodyPr vertOverflow="overflow" horzOverflow="overflow" wrap="square" lIns="0" tIns="0" rIns="0" bIns="0"/>
          <a:lstStyle/>
          <a:p>
            <a:pPr algn="ctr" rtl="0">
              <a:defRPr sz="4400" b="0" i="0">
                <a:solidFill>
                  <a:srgbClr val="404040"/>
                </a:solidFill>
                <a:latin typeface="Aptos Narrow" panose="020B0004020202020204" pitchFamily="34" charset="0"/>
                <a:ea typeface="Aptos Narrow" panose="020B0004020202020204" pitchFamily="34" charset="0"/>
                <a:cs typeface="Aptos Narrow" panose="020B0004020202020204" pitchFamily="34" charset="0"/>
              </a:defRPr>
            </a:pPr>
            <a:endParaRPr lang="en-US" sz="4400"/>
          </a:p>
        </cx:txPr>
      </cx:axis>
      <cx:axis id="1">
        <cx:valScaling/>
        <cx:tickLabels/>
        <cx:txPr>
          <a:bodyPr vertOverflow="overflow" horzOverflow="overflow" wrap="square" lIns="0" tIns="0" rIns="0" bIns="0"/>
          <a:lstStyle/>
          <a:p>
            <a:pPr algn="ctr" rtl="0">
              <a:defRPr sz="4400" b="0" i="0">
                <a:solidFill>
                  <a:srgbClr val="404040"/>
                </a:solidFill>
                <a:latin typeface="Aptos Narrow" panose="020B0004020202020204" pitchFamily="34" charset="0"/>
                <a:ea typeface="Aptos Narrow" panose="020B0004020202020204" pitchFamily="34" charset="0"/>
                <a:cs typeface="Aptos Narrow" panose="020B0004020202020204" pitchFamily="34" charset="0"/>
              </a:defRPr>
            </a:pPr>
            <a:endParaRPr lang="en-US" sz="4400"/>
          </a:p>
        </cx:txPr>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_xlchart.v1.18</cx:f>
      </cx:strDim>
      <cx:numDim type="val">
        <cx:f>_xlchart.v1.20</cx:f>
      </cx:numDim>
    </cx:data>
  </cx:chartData>
  <cx:chart>
    <cx:title pos="t" align="ctr" overlay="0">
      <cx:tx>
        <cx:txData>
          <cx:v>Streaming Hours Per Week By Gender</cx:v>
        </cx:txData>
      </cx:tx>
      <cx:txPr>
        <a:bodyPr spcFirstLastPara="1" vertOverflow="ellipsis" horzOverflow="overflow" wrap="square" lIns="0" tIns="0" rIns="0" bIns="0" anchor="ctr" anchorCtr="1"/>
        <a:lstStyle/>
        <a:p>
          <a:pPr algn="ctr" rtl="0">
            <a:defRPr/>
          </a:pPr>
          <a:r>
            <a:rPr lang="en-US" sz="4400" b="1" i="0" u="none" strike="noStrike" baseline="0">
              <a:solidFill>
                <a:sysClr val="windowText" lastClr="000000">
                  <a:lumMod val="75000"/>
                  <a:lumOff val="25000"/>
                </a:sysClr>
              </a:solidFill>
              <a:latin typeface="Aptos Narrow" panose="02110004020202020204"/>
            </a:rPr>
            <a:t>Streaming Hours Per Week By Gender</a:t>
          </a:r>
        </a:p>
      </cx:txPr>
    </cx:title>
    <cx:plotArea>
      <cx:plotAreaRegion>
        <cx:series layoutId="boxWhisker" uniqueId="{F41C93FD-3114-4C42-B34D-72C83815DE72}">
          <cx:tx>
            <cx:txData>
              <cx:f>_xlchart.v1.19</cx:f>
              <cx:v>Streaming_Hours_per_Week</cx:v>
            </cx:txData>
          </cx:tx>
          <cx:dataId val="0"/>
          <cx:layoutPr>
            <cx:visibility meanLine="0" meanMarker="1" nonoutliers="0" outliers="1"/>
            <cx:statistics quartileMethod="exclusive"/>
          </cx:layoutPr>
        </cx:series>
      </cx:plotAreaRegion>
      <cx:axis id="0">
        <cx:catScaling gapWidth="1.5"/>
        <cx:tickLabels/>
        <cx:txPr>
          <a:bodyPr vertOverflow="overflow" horzOverflow="overflow" wrap="square" lIns="0" tIns="0" rIns="0" bIns="0"/>
          <a:lstStyle/>
          <a:p>
            <a:pPr algn="ctr" rtl="0">
              <a:defRPr sz="4400" b="0" i="0">
                <a:solidFill>
                  <a:srgbClr val="404040"/>
                </a:solidFill>
                <a:latin typeface="Aptos Narrow" panose="020B0004020202020204" pitchFamily="34" charset="0"/>
                <a:ea typeface="Aptos Narrow" panose="020B0004020202020204" pitchFamily="34" charset="0"/>
                <a:cs typeface="Aptos Narrow" panose="020B0004020202020204" pitchFamily="34" charset="0"/>
              </a:defRPr>
            </a:pPr>
            <a:endParaRPr lang="en-US" sz="4400"/>
          </a:p>
        </cx:txPr>
      </cx:axis>
      <cx:axis id="1">
        <cx:valScaling/>
        <cx:tickLabels/>
        <cx:txPr>
          <a:bodyPr vertOverflow="overflow" horzOverflow="overflow" wrap="square" lIns="0" tIns="0" rIns="0" bIns="0"/>
          <a:lstStyle/>
          <a:p>
            <a:pPr algn="ctr" rtl="0">
              <a:defRPr sz="4400" b="0" i="0">
                <a:solidFill>
                  <a:srgbClr val="404040"/>
                </a:solidFill>
                <a:latin typeface="Aptos Narrow" panose="020B0004020202020204" pitchFamily="34" charset="0"/>
                <a:ea typeface="Aptos Narrow" panose="020B0004020202020204" pitchFamily="34" charset="0"/>
                <a:cs typeface="Aptos Narrow" panose="020B0004020202020204" pitchFamily="34" charset="0"/>
              </a:defRPr>
            </a:pPr>
            <a:endParaRPr lang="en-US" sz="4400"/>
          </a:p>
        </cx:txPr>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val">
        <cx:f>_xlchart.v1.17</cx:f>
      </cx:numDim>
    </cx:data>
  </cx:chartData>
  <cx:chart>
    <cx:title pos="t" align="ctr" overlay="0">
      <cx:tx>
        <cx:txData>
          <cx:v>Monthly Entartainment By Age Group</cx:v>
        </cx:txData>
      </cx:tx>
      <cx:txPr>
        <a:bodyPr spcFirstLastPara="1" vertOverflow="ellipsis" horzOverflow="overflow" wrap="square" lIns="0" tIns="0" rIns="0" bIns="0" anchor="ctr" anchorCtr="1"/>
        <a:lstStyle/>
        <a:p>
          <a:pPr algn="ctr" rtl="0">
            <a:defRPr/>
          </a:pPr>
          <a:r>
            <a:rPr lang="en-US" sz="4000" b="1" i="0" u="none" strike="noStrike" baseline="0">
              <a:solidFill>
                <a:sysClr val="windowText" lastClr="000000">
                  <a:lumMod val="75000"/>
                  <a:lumOff val="25000"/>
                </a:sysClr>
              </a:solidFill>
              <a:latin typeface="Aptos Narrow" panose="02110004020202020204"/>
            </a:rPr>
            <a:t>Monthly Entartainment By Age Group</a:t>
          </a:r>
        </a:p>
      </cx:txPr>
    </cx:title>
    <cx:plotArea>
      <cx:plotAreaRegion>
        <cx:series layoutId="boxWhisker" uniqueId="{EA136D27-9DE8-44EA-B1EA-1AFFBB62B6E6}">
          <cx:tx>
            <cx:txData>
              <cx:f>_xlchart.v1.16</cx:f>
              <cx:v>Monthly_Entertainment_Spend</cx:v>
            </cx:txData>
          </cx:tx>
          <cx:dataId val="0"/>
          <cx:layoutPr>
            <cx:visibility meanLine="0" meanMarker="0" nonoutliers="0" outliers="1"/>
            <cx:statistics quartileMethod="exclusive"/>
          </cx:layoutPr>
        </cx:series>
      </cx:plotAreaRegion>
      <cx:axis id="0">
        <cx:catScaling gapWidth="1.5"/>
        <cx:tickLabels/>
        <cx:txPr>
          <a:bodyPr vertOverflow="overflow" horzOverflow="overflow" wrap="square" lIns="0" tIns="0" rIns="0" bIns="0"/>
          <a:lstStyle/>
          <a:p>
            <a:pPr algn="ctr" rtl="0">
              <a:defRPr sz="4400" b="0" i="0">
                <a:solidFill>
                  <a:srgbClr val="404040"/>
                </a:solidFill>
                <a:latin typeface="Aptos Narrow" panose="020B0004020202020204" pitchFamily="34" charset="0"/>
                <a:ea typeface="Aptos Narrow" panose="020B0004020202020204" pitchFamily="34" charset="0"/>
                <a:cs typeface="Aptos Narrow" panose="020B0004020202020204" pitchFamily="34" charset="0"/>
              </a:defRPr>
            </a:pPr>
            <a:endParaRPr lang="en-US" sz="4400"/>
          </a:p>
        </cx:txPr>
      </cx:axis>
      <cx:axis id="1">
        <cx:valScaling/>
        <cx:tickLabels/>
        <cx:txPr>
          <a:bodyPr vertOverflow="overflow" horzOverflow="overflow" wrap="square" lIns="0" tIns="0" rIns="0" bIns="0"/>
          <a:lstStyle/>
          <a:p>
            <a:pPr algn="ctr" rtl="0">
              <a:defRPr sz="4400" b="0" i="0">
                <a:solidFill>
                  <a:srgbClr val="404040"/>
                </a:solidFill>
                <a:latin typeface="Aptos Narrow" panose="020B0004020202020204" pitchFamily="34" charset="0"/>
                <a:ea typeface="Aptos Narrow" panose="020B0004020202020204" pitchFamily="34" charset="0"/>
                <a:cs typeface="Aptos Narrow" panose="020B0004020202020204" pitchFamily="34" charset="0"/>
              </a:defRPr>
            </a:pPr>
            <a:endParaRPr lang="en-US" sz="4400"/>
          </a:p>
        </cx:txPr>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_xlchart.v1.21</cx:f>
      </cx:strDim>
      <cx:numDim type="val">
        <cx:f>_xlchart.v1.23</cx:f>
      </cx:numDim>
    </cx:data>
  </cx:chartData>
  <cx:chart>
    <cx:title pos="t" align="ctr" overlay="0">
      <cx:tx>
        <cx:txData>
          <cx:v>Streaming Hours Per Week By Age Group</cx:v>
        </cx:txData>
      </cx:tx>
      <cx:txPr>
        <a:bodyPr spcFirstLastPara="1" vertOverflow="ellipsis" horzOverflow="overflow" wrap="square" lIns="0" tIns="0" rIns="0" bIns="0" anchor="ctr" anchorCtr="1"/>
        <a:lstStyle/>
        <a:p>
          <a:pPr algn="ctr" rtl="0">
            <a:defRPr/>
          </a:pPr>
          <a:r>
            <a:rPr lang="en-US" sz="4400" b="1" i="0" u="none" strike="noStrike" baseline="0">
              <a:solidFill>
                <a:sysClr val="windowText" lastClr="000000">
                  <a:lumMod val="75000"/>
                  <a:lumOff val="25000"/>
                </a:sysClr>
              </a:solidFill>
              <a:latin typeface="Aptos Narrow" panose="02110004020202020204"/>
            </a:rPr>
            <a:t>Streaming Hours Per Week By Age Group</a:t>
          </a:r>
        </a:p>
      </cx:txPr>
    </cx:title>
    <cx:plotArea>
      <cx:plotAreaRegion>
        <cx:series layoutId="boxWhisker" uniqueId="{3E06077B-0C8F-4AF1-921B-A2E05CE9AED4}">
          <cx:tx>
            <cx:txData>
              <cx:f>_xlchart.v1.22</cx:f>
              <cx:v>Streaming_Hours_per_Week</cx:v>
            </cx:txData>
          </cx:tx>
          <cx:dataId val="0"/>
          <cx:layoutPr>
            <cx:visibility meanLine="0" meanMarker="1" nonoutliers="0" outliers="1"/>
            <cx:statistics quartileMethod="exclusive"/>
          </cx:layoutPr>
        </cx:series>
      </cx:plotAreaRegion>
      <cx:axis id="0">
        <cx:catScaling gapWidth="1.5"/>
        <cx:tickLabels/>
        <cx:txPr>
          <a:bodyPr vertOverflow="overflow" horzOverflow="overflow" wrap="square" lIns="0" tIns="0" rIns="0" bIns="0"/>
          <a:lstStyle/>
          <a:p>
            <a:pPr algn="ctr" rtl="0">
              <a:defRPr sz="4400" b="0" i="0">
                <a:solidFill>
                  <a:srgbClr val="404040"/>
                </a:solidFill>
                <a:latin typeface="Aptos Narrow" panose="020B0004020202020204" pitchFamily="34" charset="0"/>
                <a:ea typeface="Aptos Narrow" panose="020B0004020202020204" pitchFamily="34" charset="0"/>
                <a:cs typeface="Aptos Narrow" panose="020B0004020202020204" pitchFamily="34" charset="0"/>
              </a:defRPr>
            </a:pPr>
            <a:endParaRPr lang="en-US" sz="4400"/>
          </a:p>
        </cx:txPr>
      </cx:axis>
      <cx:axis id="1">
        <cx:valScaling/>
        <cx:tickLabels/>
        <cx:txPr>
          <a:bodyPr vertOverflow="overflow" horzOverflow="overflow" wrap="square" lIns="0" tIns="0" rIns="0" bIns="0"/>
          <a:lstStyle/>
          <a:p>
            <a:pPr algn="ctr" rtl="0">
              <a:defRPr sz="4400" b="0" i="0">
                <a:solidFill>
                  <a:srgbClr val="404040"/>
                </a:solidFill>
                <a:latin typeface="Aptos Narrow" panose="020B0004020202020204" pitchFamily="34" charset="0"/>
                <a:ea typeface="Aptos Narrow" panose="020B0004020202020204" pitchFamily="34" charset="0"/>
                <a:cs typeface="Aptos Narrow" panose="020B0004020202020204" pitchFamily="34" charset="0"/>
              </a:defRPr>
            </a:pPr>
            <a:endParaRPr lang="en-US" sz="4400"/>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4" Type="http://schemas.microsoft.com/office/2014/relationships/chartEx" Target="../charts/chartEx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0.xml"/><Relationship Id="rId13" Type="http://schemas.microsoft.com/office/2014/relationships/chartEx" Target="../charts/chartEx6.xml"/><Relationship Id="rId3" Type="http://schemas.openxmlformats.org/officeDocument/2006/relationships/chart" Target="../charts/chart15.xml"/><Relationship Id="rId7" Type="http://schemas.openxmlformats.org/officeDocument/2006/relationships/chart" Target="../charts/chart19.xml"/><Relationship Id="rId12" Type="http://schemas.microsoft.com/office/2014/relationships/chartEx" Target="../charts/chartEx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5" Type="http://schemas.microsoft.com/office/2014/relationships/chartEx" Target="../charts/chartEx8.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 Id="rId14" Type="http://schemas.microsoft.com/office/2014/relationships/chartEx" Target="../charts/chartEx7.xml"/></Relationships>
</file>

<file path=xl/drawings/drawing1.xml><?xml version="1.0" encoding="utf-8"?>
<xdr:wsDr xmlns:xdr="http://schemas.openxmlformats.org/drawingml/2006/spreadsheetDrawing" xmlns:a="http://schemas.openxmlformats.org/drawingml/2006/main">
  <xdr:twoCellAnchor>
    <xdr:from>
      <xdr:col>0</xdr:col>
      <xdr:colOff>1828800</xdr:colOff>
      <xdr:row>27</xdr:row>
      <xdr:rowOff>121920</xdr:rowOff>
    </xdr:from>
    <xdr:to>
      <xdr:col>10</xdr:col>
      <xdr:colOff>213360</xdr:colOff>
      <xdr:row>42</xdr:row>
      <xdr:rowOff>121920</xdr:rowOff>
    </xdr:to>
    <xdr:graphicFrame macro="">
      <xdr:nvGraphicFramePr>
        <xdr:cNvPr id="2" name="Chart 1">
          <a:extLst>
            <a:ext uri="{FF2B5EF4-FFF2-40B4-BE49-F238E27FC236}">
              <a16:creationId xmlns:a16="http://schemas.microsoft.com/office/drawing/2014/main" id="{8830DA6E-CD08-CD76-CE57-989EFA45EC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16</xdr:row>
      <xdr:rowOff>0</xdr:rowOff>
    </xdr:from>
    <xdr:to>
      <xdr:col>14</xdr:col>
      <xdr:colOff>30480</xdr:colOff>
      <xdr:row>27</xdr:row>
      <xdr:rowOff>0</xdr:rowOff>
    </xdr:to>
    <xdr:sp macro="" textlink="">
      <xdr:nvSpPr>
        <xdr:cNvPr id="5" name="TextBox 4">
          <a:extLst>
            <a:ext uri="{FF2B5EF4-FFF2-40B4-BE49-F238E27FC236}">
              <a16:creationId xmlns:a16="http://schemas.microsoft.com/office/drawing/2014/main" id="{4948796F-D1A9-22B7-45D9-6C41939E54AA}"/>
            </a:ext>
          </a:extLst>
        </xdr:cNvPr>
        <xdr:cNvSpPr txBox="1"/>
      </xdr:nvSpPr>
      <xdr:spPr>
        <a:xfrm>
          <a:off x="4480560" y="2560320"/>
          <a:ext cx="5105400" cy="2011680"/>
        </a:xfrm>
        <a:prstGeom prst="rect">
          <a:avLst/>
        </a:prstGeom>
        <a:solidFill>
          <a:schemeClr val="tx2">
            <a:lumMod val="75000"/>
            <a:lumOff val="25000"/>
          </a:schemeClr>
        </a:solidFill>
        <a:ln w="9525" cmpd="sng">
          <a:solidFill>
            <a:schemeClr val="lt1">
              <a:shade val="50000"/>
            </a:schemeClr>
          </a:solid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Times New Roman" panose="02020603050405020304" pitchFamily="18" charset="0"/>
              <a:cs typeface="Times New Roman" panose="02020603050405020304" pitchFamily="18" charset="0"/>
            </a:rPr>
            <a:t>1) Balanced Representation</a:t>
          </a:r>
          <a:endParaRPr lang="en-US" sz="1400">
            <a:latin typeface="Times New Roman" panose="02020603050405020304" pitchFamily="18" charset="0"/>
            <a:cs typeface="Times New Roman" panose="02020603050405020304" pitchFamily="18" charset="0"/>
          </a:endParaRPr>
        </a:p>
        <a:p>
          <a:r>
            <a:rPr lang="en-US" sz="1400">
              <a:latin typeface="Times New Roman" panose="02020603050405020304" pitchFamily="18" charset="0"/>
              <a:cs typeface="Times New Roman" panose="02020603050405020304" pitchFamily="18" charset="0"/>
            </a:rPr>
            <a:t>Female respondents: </a:t>
          </a:r>
          <a:r>
            <a:rPr lang="en-US" sz="1400" b="1">
              <a:latin typeface="Times New Roman" panose="02020603050405020304" pitchFamily="18" charset="0"/>
              <a:cs typeface="Times New Roman" panose="02020603050405020304" pitchFamily="18" charset="0"/>
            </a:rPr>
            <a:t>130</a:t>
          </a:r>
          <a:endParaRPr lang="en-US" sz="1400">
            <a:latin typeface="Times New Roman" panose="02020603050405020304" pitchFamily="18" charset="0"/>
            <a:cs typeface="Times New Roman" panose="02020603050405020304" pitchFamily="18" charset="0"/>
          </a:endParaRPr>
        </a:p>
        <a:p>
          <a:r>
            <a:rPr lang="en-US" sz="1400">
              <a:latin typeface="Times New Roman" panose="02020603050405020304" pitchFamily="18" charset="0"/>
              <a:cs typeface="Times New Roman" panose="02020603050405020304" pitchFamily="18" charset="0"/>
            </a:rPr>
            <a:t>Male respondents: </a:t>
          </a:r>
          <a:r>
            <a:rPr lang="en-US" sz="1400" b="1">
              <a:latin typeface="Times New Roman" panose="02020603050405020304" pitchFamily="18" charset="0"/>
              <a:cs typeface="Times New Roman" panose="02020603050405020304" pitchFamily="18" charset="0"/>
            </a:rPr>
            <a:t>120</a:t>
          </a:r>
          <a:br>
            <a:rPr lang="en-US" sz="1400">
              <a:latin typeface="Times New Roman" panose="02020603050405020304" pitchFamily="18" charset="0"/>
              <a:cs typeface="Times New Roman" panose="02020603050405020304" pitchFamily="18" charset="0"/>
            </a:rPr>
          </a:br>
          <a:r>
            <a:rPr lang="en-US" sz="1400">
              <a:latin typeface="Times New Roman" panose="02020603050405020304" pitchFamily="18" charset="0"/>
              <a:cs typeface="Times New Roman" panose="02020603050405020304" pitchFamily="18" charset="0"/>
            </a:rPr>
            <a:t>Dataset is well balanced, so insights are reliable across genders.</a:t>
          </a:r>
        </a:p>
        <a:p>
          <a:endParaRPr lang="en-US" sz="1400" b="1">
            <a:latin typeface="Times New Roman" panose="02020603050405020304" pitchFamily="18" charset="0"/>
            <a:cs typeface="Times New Roman" panose="02020603050405020304" pitchFamily="18" charset="0"/>
          </a:endParaRPr>
        </a:p>
        <a:p>
          <a:r>
            <a:rPr lang="en-US" sz="1400" b="1">
              <a:latin typeface="Times New Roman" panose="02020603050405020304" pitchFamily="18" charset="0"/>
              <a:cs typeface="Times New Roman" panose="02020603050405020304" pitchFamily="18" charset="0"/>
            </a:rPr>
            <a:t>2 )Top 3 Genres by Popularity (Overall)</a:t>
          </a:r>
          <a:endParaRPr lang="en-US" sz="1400">
            <a:latin typeface="Times New Roman" panose="02020603050405020304" pitchFamily="18" charset="0"/>
            <a:cs typeface="Times New Roman" panose="02020603050405020304" pitchFamily="18" charset="0"/>
          </a:endParaRPr>
        </a:p>
        <a:p>
          <a:r>
            <a:rPr lang="en-US" sz="1400" b="1">
              <a:latin typeface="Times New Roman" panose="02020603050405020304" pitchFamily="18" charset="0"/>
              <a:cs typeface="Times New Roman" panose="02020603050405020304" pitchFamily="18" charset="0"/>
            </a:rPr>
            <a:t>Fantasy (40 users)</a:t>
          </a:r>
          <a:r>
            <a:rPr lang="en-US" sz="1400">
              <a:latin typeface="Times New Roman" panose="02020603050405020304" pitchFamily="18" charset="0"/>
              <a:cs typeface="Times New Roman" panose="02020603050405020304" pitchFamily="18" charset="0"/>
            </a:rPr>
            <a:t> → most popular across genders.</a:t>
          </a:r>
        </a:p>
        <a:p>
          <a:r>
            <a:rPr lang="en-US" sz="1400" b="1">
              <a:latin typeface="Times New Roman" panose="02020603050405020304" pitchFamily="18" charset="0"/>
              <a:cs typeface="Times New Roman" panose="02020603050405020304" pitchFamily="18" charset="0"/>
            </a:rPr>
            <a:t>Romance (37 users)</a:t>
          </a:r>
          <a:r>
            <a:rPr lang="en-US" sz="1400">
              <a:latin typeface="Times New Roman" panose="02020603050405020304" pitchFamily="18" charset="0"/>
              <a:cs typeface="Times New Roman" panose="02020603050405020304" pitchFamily="18" charset="0"/>
            </a:rPr>
            <a:t> → second most popular.</a:t>
          </a:r>
        </a:p>
        <a:p>
          <a:r>
            <a:rPr lang="en-US" sz="1400" b="1">
              <a:latin typeface="Times New Roman" panose="02020603050405020304" pitchFamily="18" charset="0"/>
              <a:cs typeface="Times New Roman" panose="02020603050405020304" pitchFamily="18" charset="0"/>
            </a:rPr>
            <a:t>Horror (33 users)</a:t>
          </a:r>
          <a:r>
            <a:rPr lang="en-US" sz="1400">
              <a:latin typeface="Times New Roman" panose="02020603050405020304" pitchFamily="18" charset="0"/>
              <a:cs typeface="Times New Roman" panose="02020603050405020304" pitchFamily="18" charset="0"/>
            </a:rPr>
            <a:t> → third most popular.</a:t>
          </a:r>
        </a:p>
        <a:p>
          <a:endParaRPr lang="en-US" sz="1100"/>
        </a:p>
      </xdr:txBody>
    </xdr:sp>
    <xdr:clientData/>
  </xdr:twoCellAnchor>
  <xdr:twoCellAnchor>
    <xdr:from>
      <xdr:col>1</xdr:col>
      <xdr:colOff>587829</xdr:colOff>
      <xdr:row>58</xdr:row>
      <xdr:rowOff>108856</xdr:rowOff>
    </xdr:from>
    <xdr:to>
      <xdr:col>14</xdr:col>
      <xdr:colOff>54429</xdr:colOff>
      <xdr:row>79</xdr:row>
      <xdr:rowOff>174171</xdr:rowOff>
    </xdr:to>
    <xdr:graphicFrame macro="">
      <xdr:nvGraphicFramePr>
        <xdr:cNvPr id="7" name="Chart 6">
          <a:extLst>
            <a:ext uri="{FF2B5EF4-FFF2-40B4-BE49-F238E27FC236}">
              <a16:creationId xmlns:a16="http://schemas.microsoft.com/office/drawing/2014/main" id="{78C251D7-4FE1-D3B5-3ABD-9E2F9600DA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48</xdr:row>
      <xdr:rowOff>21771</xdr:rowOff>
    </xdr:from>
    <xdr:to>
      <xdr:col>16</xdr:col>
      <xdr:colOff>391886</xdr:colOff>
      <xdr:row>58</xdr:row>
      <xdr:rowOff>10886</xdr:rowOff>
    </xdr:to>
    <xdr:sp macro="" textlink="">
      <xdr:nvSpPr>
        <xdr:cNvPr id="8" name="TextBox 7">
          <a:extLst>
            <a:ext uri="{FF2B5EF4-FFF2-40B4-BE49-F238E27FC236}">
              <a16:creationId xmlns:a16="http://schemas.microsoft.com/office/drawing/2014/main" id="{3BCFF860-C021-CF86-AB6D-4ABD724160F1}"/>
            </a:ext>
          </a:extLst>
        </xdr:cNvPr>
        <xdr:cNvSpPr txBox="1"/>
      </xdr:nvSpPr>
      <xdr:spPr>
        <a:xfrm>
          <a:off x="3799114" y="8534400"/>
          <a:ext cx="6901543" cy="1839686"/>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a:t>
          </a:r>
          <a:r>
            <a:rPr lang="en-US" sz="1200" b="1"/>
            <a:t>Platform</a:t>
          </a:r>
          <a:r>
            <a:rPr lang="en-US" b="1"/>
            <a:t> </a:t>
          </a:r>
          <a:r>
            <a:rPr lang="en-US" sz="1200" b="1">
              <a:latin typeface="Times New Roman" panose="02020603050405020304" pitchFamily="18" charset="0"/>
              <a:cs typeface="Times New Roman" panose="02020603050405020304" pitchFamily="18" charset="0"/>
            </a:rPr>
            <a:t>Partnerships</a:t>
          </a:r>
          <a:endParaRPr lang="en-US" sz="1200">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Hotstar &amp; Disney+</a:t>
          </a:r>
          <a:r>
            <a:rPr lang="en-US" sz="1200">
              <a:latin typeface="Times New Roman" panose="02020603050405020304" pitchFamily="18" charset="0"/>
              <a:cs typeface="Times New Roman" panose="02020603050405020304" pitchFamily="18" charset="0"/>
            </a:rPr>
            <a:t> → stronger female audience → great for </a:t>
          </a:r>
          <a:r>
            <a:rPr lang="en-US" sz="1200" b="1">
              <a:latin typeface="Times New Roman" panose="02020603050405020304" pitchFamily="18" charset="0"/>
              <a:cs typeface="Times New Roman" panose="02020603050405020304" pitchFamily="18" charset="0"/>
            </a:rPr>
            <a:t>family-oriented, drama, and fantasy content marketing</a:t>
          </a:r>
          <a:r>
            <a:rPr lang="en-US" sz="1200">
              <a:latin typeface="Times New Roman" panose="02020603050405020304" pitchFamily="18" charset="0"/>
              <a:cs typeface="Times New Roman" panose="02020603050405020304" pitchFamily="18" charset="0"/>
            </a:rPr>
            <a:t>.</a:t>
          </a:r>
        </a:p>
        <a:p>
          <a:r>
            <a:rPr lang="en-US" sz="1200" b="1">
              <a:latin typeface="Times New Roman" panose="02020603050405020304" pitchFamily="18" charset="0"/>
              <a:cs typeface="Times New Roman" panose="02020603050405020304" pitchFamily="18" charset="0"/>
            </a:rPr>
            <a:t>Sony Liv &amp; Zee5</a:t>
          </a:r>
          <a:r>
            <a:rPr lang="en-US" sz="1200">
              <a:latin typeface="Times New Roman" panose="02020603050405020304" pitchFamily="18" charset="0"/>
              <a:cs typeface="Times New Roman" panose="02020603050405020304" pitchFamily="18" charset="0"/>
            </a:rPr>
            <a:t> → stronger male audience → good for </a:t>
          </a:r>
          <a:r>
            <a:rPr lang="en-US" sz="1200" b="1">
              <a:latin typeface="Times New Roman" panose="02020603050405020304" pitchFamily="18" charset="0"/>
              <a:cs typeface="Times New Roman" panose="02020603050405020304" pitchFamily="18" charset="0"/>
            </a:rPr>
            <a:t>sports, comedy, and action-heavy promotions</a:t>
          </a:r>
          <a:r>
            <a:rPr lang="en-US" sz="1200">
              <a:latin typeface="Times New Roman" panose="02020603050405020304" pitchFamily="18" charset="0"/>
              <a:cs typeface="Times New Roman" panose="02020603050405020304" pitchFamily="18" charset="0"/>
            </a:rPr>
            <a:t>.</a:t>
          </a:r>
        </a:p>
        <a:p>
          <a:r>
            <a:rPr lang="en-US" sz="1200" b="1">
              <a:latin typeface="Times New Roman" panose="02020603050405020304" pitchFamily="18" charset="0"/>
              <a:cs typeface="Times New Roman" panose="02020603050405020304" pitchFamily="18" charset="0"/>
            </a:rPr>
            <a:t>Amazon Prime &amp; Netflix</a:t>
          </a:r>
          <a:r>
            <a:rPr lang="en-US" sz="1200">
              <a:latin typeface="Times New Roman" panose="02020603050405020304" pitchFamily="18" charset="0"/>
              <a:cs typeface="Times New Roman" panose="02020603050405020304" pitchFamily="18" charset="0"/>
            </a:rPr>
            <a:t> → balanced gender appeal → safe for universal campaigns.</a:t>
          </a:r>
        </a:p>
        <a:p>
          <a:endParaRPr lang="en-US" sz="1200" b="1">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2) Targeted Marketing Campaigns</a:t>
          </a:r>
          <a:endParaRPr lang="en-US" sz="1200">
            <a:latin typeface="Times New Roman" panose="02020603050405020304" pitchFamily="18" charset="0"/>
            <a:cs typeface="Times New Roman" panose="02020603050405020304" pitchFamily="18" charset="0"/>
          </a:endParaRPr>
        </a:p>
        <a:p>
          <a:r>
            <a:rPr lang="en-US" sz="1200">
              <a:latin typeface="Times New Roman" panose="02020603050405020304" pitchFamily="18" charset="0"/>
              <a:cs typeface="Times New Roman" panose="02020603050405020304" pitchFamily="18" charset="0"/>
            </a:rPr>
            <a:t>Run </a:t>
          </a:r>
          <a:r>
            <a:rPr lang="en-US" sz="1200" b="1">
              <a:latin typeface="Times New Roman" panose="02020603050405020304" pitchFamily="18" charset="0"/>
              <a:cs typeface="Times New Roman" panose="02020603050405020304" pitchFamily="18" charset="0"/>
            </a:rPr>
            <a:t>female-focused promotions</a:t>
          </a:r>
          <a:r>
            <a:rPr lang="en-US" sz="1200">
              <a:latin typeface="Times New Roman" panose="02020603050405020304" pitchFamily="18" charset="0"/>
              <a:cs typeface="Times New Roman" panose="02020603050405020304" pitchFamily="18" charset="0"/>
            </a:rPr>
            <a:t> on Disney+ and Hotstar (e.g., drama series, romance shows).</a:t>
          </a:r>
        </a:p>
        <a:p>
          <a:r>
            <a:rPr lang="en-US" sz="1200">
              <a:latin typeface="Times New Roman" panose="02020603050405020304" pitchFamily="18" charset="0"/>
              <a:cs typeface="Times New Roman" panose="02020603050405020304" pitchFamily="18" charset="0"/>
            </a:rPr>
            <a:t>Run </a:t>
          </a:r>
          <a:r>
            <a:rPr lang="en-US" sz="1200" b="1">
              <a:latin typeface="Times New Roman" panose="02020603050405020304" pitchFamily="18" charset="0"/>
              <a:cs typeface="Times New Roman" panose="02020603050405020304" pitchFamily="18" charset="0"/>
            </a:rPr>
            <a:t>male-focused campaigns</a:t>
          </a:r>
          <a:r>
            <a:rPr lang="en-US" sz="1200">
              <a:latin typeface="Times New Roman" panose="02020603050405020304" pitchFamily="18" charset="0"/>
              <a:cs typeface="Times New Roman" panose="02020603050405020304" pitchFamily="18" charset="0"/>
            </a:rPr>
            <a:t> on Zee5 and Sony Liv</a:t>
          </a:r>
        </a:p>
        <a:p>
          <a:endParaRPr lang="en-US" sz="1100"/>
        </a:p>
      </xdr:txBody>
    </xdr:sp>
    <xdr:clientData/>
  </xdr:twoCellAnchor>
  <xdr:twoCellAnchor>
    <xdr:from>
      <xdr:col>1</xdr:col>
      <xdr:colOff>662451</xdr:colOff>
      <xdr:row>101</xdr:row>
      <xdr:rowOff>10885</xdr:rowOff>
    </xdr:from>
    <xdr:to>
      <xdr:col>10</xdr:col>
      <xdr:colOff>107594</xdr:colOff>
      <xdr:row>120</xdr:row>
      <xdr:rowOff>32657</xdr:rowOff>
    </xdr:to>
    <xdr:graphicFrame macro="">
      <xdr:nvGraphicFramePr>
        <xdr:cNvPr id="9" name="Chart 8">
          <a:extLst>
            <a:ext uri="{FF2B5EF4-FFF2-40B4-BE49-F238E27FC236}">
              <a16:creationId xmlns:a16="http://schemas.microsoft.com/office/drawing/2014/main" id="{66FA774F-E3F7-3309-DED9-4D265A7ACB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1270000</xdr:colOff>
      <xdr:row>89</xdr:row>
      <xdr:rowOff>165652</xdr:rowOff>
    </xdr:from>
    <xdr:to>
      <xdr:col>12</xdr:col>
      <xdr:colOff>430696</xdr:colOff>
      <xdr:row>100</xdr:row>
      <xdr:rowOff>22086</xdr:rowOff>
    </xdr:to>
    <xdr:sp macro="" textlink="">
      <xdr:nvSpPr>
        <xdr:cNvPr id="10" name="TextBox 9">
          <a:extLst>
            <a:ext uri="{FF2B5EF4-FFF2-40B4-BE49-F238E27FC236}">
              <a16:creationId xmlns:a16="http://schemas.microsoft.com/office/drawing/2014/main" id="{F567A3F3-CF05-6FA8-AC63-DB1385F62919}"/>
            </a:ext>
          </a:extLst>
        </xdr:cNvPr>
        <xdr:cNvSpPr txBox="1"/>
      </xdr:nvSpPr>
      <xdr:spPr>
        <a:xfrm>
          <a:off x="4174435" y="16498956"/>
          <a:ext cx="7343913" cy="1921565"/>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Times New Roman" panose="02020603050405020304" pitchFamily="18" charset="0"/>
              <a:cs typeface="Times New Roman" panose="02020603050405020304" pitchFamily="18" charset="0"/>
            </a:rPr>
            <a:t>1) Primary Target Market</a:t>
          </a:r>
          <a:endParaRPr lang="en-US" sz="1200">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40–50 group = premium audience</a:t>
          </a:r>
          <a:r>
            <a:rPr lang="en-US" sz="1200">
              <a:latin typeface="Times New Roman" panose="02020603050405020304" pitchFamily="18" charset="0"/>
              <a:cs typeface="Times New Roman" panose="02020603050405020304" pitchFamily="18" charset="0"/>
            </a:rPr>
            <a:t> → more disposable income, willing to pay for multiple subscriptions, premium plans, and live events.</a:t>
          </a:r>
        </a:p>
        <a:p>
          <a:r>
            <a:rPr lang="en-US" sz="1200">
              <a:latin typeface="Times New Roman" panose="02020603050405020304" pitchFamily="18" charset="0"/>
              <a:cs typeface="Times New Roman" panose="02020603050405020304" pitchFamily="18" charset="0"/>
            </a:rPr>
            <a:t>Marketing should focus on </a:t>
          </a:r>
          <a:r>
            <a:rPr lang="en-US" sz="1200" b="1">
              <a:latin typeface="Times New Roman" panose="02020603050405020304" pitchFamily="18" charset="0"/>
              <a:cs typeface="Times New Roman" panose="02020603050405020304" pitchFamily="18" charset="0"/>
            </a:rPr>
            <a:t>convenience, exclusive content, bundled offers</a:t>
          </a:r>
          <a:r>
            <a:rPr lang="en-US" sz="1200">
              <a:latin typeface="Times New Roman" panose="02020603050405020304" pitchFamily="18" charset="0"/>
              <a:cs typeface="Times New Roman" panose="02020603050405020304" pitchFamily="18" charset="0"/>
            </a:rPr>
            <a:t>.</a:t>
          </a:r>
        </a:p>
        <a:p>
          <a:endParaRPr lang="en-US" sz="1200" b="1">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2) Core Growth Segment (20–39)</a:t>
          </a:r>
          <a:endParaRPr lang="en-US" sz="1200">
            <a:latin typeface="Times New Roman" panose="02020603050405020304" pitchFamily="18" charset="0"/>
            <a:cs typeface="Times New Roman" panose="02020603050405020304" pitchFamily="18" charset="0"/>
          </a:endParaRPr>
        </a:p>
        <a:p>
          <a:r>
            <a:rPr lang="en-US" sz="1200">
              <a:latin typeface="Times New Roman" panose="02020603050405020304" pitchFamily="18" charset="0"/>
              <a:cs typeface="Times New Roman" panose="02020603050405020304" pitchFamily="18" charset="0"/>
            </a:rPr>
            <a:t>Represent the </a:t>
          </a:r>
          <a:r>
            <a:rPr lang="en-US" sz="1200" b="1">
              <a:latin typeface="Times New Roman" panose="02020603050405020304" pitchFamily="18" charset="0"/>
              <a:cs typeface="Times New Roman" panose="02020603050405020304" pitchFamily="18" charset="0"/>
            </a:rPr>
            <a:t>largest active user base + majority of spend</a:t>
          </a:r>
          <a:r>
            <a:rPr lang="en-US" sz="1200">
              <a:latin typeface="Times New Roman" panose="02020603050405020304" pitchFamily="18" charset="0"/>
              <a:cs typeface="Times New Roman" panose="02020603050405020304" pitchFamily="18" charset="0"/>
            </a:rPr>
            <a:t>.</a:t>
          </a:r>
        </a:p>
        <a:p>
          <a:r>
            <a:rPr lang="en-US" sz="1200">
              <a:latin typeface="Times New Roman" panose="02020603050405020304" pitchFamily="18" charset="0"/>
              <a:cs typeface="Times New Roman" panose="02020603050405020304" pitchFamily="18" charset="0"/>
            </a:rPr>
            <a:t>Highly engaged with </a:t>
          </a:r>
          <a:r>
            <a:rPr lang="en-US" sz="1200" b="1">
              <a:latin typeface="Times New Roman" panose="02020603050405020304" pitchFamily="18" charset="0"/>
              <a:cs typeface="Times New Roman" panose="02020603050405020304" pitchFamily="18" charset="0"/>
            </a:rPr>
            <a:t>digital platforms, OTT subscriptions, online events</a:t>
          </a:r>
          <a:r>
            <a:rPr lang="en-US" sz="1200">
              <a:latin typeface="Times New Roman" panose="02020603050405020304" pitchFamily="18" charset="0"/>
              <a:cs typeface="Times New Roman" panose="02020603050405020304" pitchFamily="18" charset="0"/>
            </a:rPr>
            <a:t>.</a:t>
          </a:r>
        </a:p>
        <a:p>
          <a:r>
            <a:rPr lang="en-US" sz="1200">
              <a:latin typeface="Times New Roman" panose="02020603050405020304" pitchFamily="18" charset="0"/>
              <a:cs typeface="Times New Roman" panose="02020603050405020304" pitchFamily="18" charset="0"/>
            </a:rPr>
            <a:t>Strategy: focus on </a:t>
          </a:r>
          <a:r>
            <a:rPr lang="en-US" sz="1200" b="1">
              <a:latin typeface="Times New Roman" panose="02020603050405020304" pitchFamily="18" charset="0"/>
              <a:cs typeface="Times New Roman" panose="02020603050405020304" pitchFamily="18" charset="0"/>
            </a:rPr>
            <a:t>loyalty programs, personalized recommendations, influencer tie-ups</a:t>
          </a:r>
          <a:r>
            <a:rPr lang="en-US" sz="1200">
              <a:latin typeface="Times New Roman" panose="02020603050405020304" pitchFamily="18" charset="0"/>
              <a:cs typeface="Times New Roman" panose="02020603050405020304" pitchFamily="18" charset="0"/>
            </a:rPr>
            <a:t>.</a:t>
          </a:r>
        </a:p>
        <a:p>
          <a:endParaRPr lang="en-US" sz="1100"/>
        </a:p>
      </xdr:txBody>
    </xdr:sp>
    <xdr:clientData/>
  </xdr:twoCellAnchor>
  <xdr:twoCellAnchor>
    <xdr:from>
      <xdr:col>1</xdr:col>
      <xdr:colOff>639417</xdr:colOff>
      <xdr:row>135</xdr:row>
      <xdr:rowOff>14356</xdr:rowOff>
    </xdr:from>
    <xdr:to>
      <xdr:col>8</xdr:col>
      <xdr:colOff>253999</xdr:colOff>
      <xdr:row>154</xdr:row>
      <xdr:rowOff>49695</xdr:rowOff>
    </xdr:to>
    <xdr:graphicFrame macro="">
      <xdr:nvGraphicFramePr>
        <xdr:cNvPr id="11" name="Chart 10">
          <a:extLst>
            <a:ext uri="{FF2B5EF4-FFF2-40B4-BE49-F238E27FC236}">
              <a16:creationId xmlns:a16="http://schemas.microsoft.com/office/drawing/2014/main" id="{0515DCB0-3956-FFCE-30F6-45811A1D2D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675104</xdr:colOff>
      <xdr:row>136</xdr:row>
      <xdr:rowOff>186311</xdr:rowOff>
    </xdr:from>
    <xdr:to>
      <xdr:col>19</xdr:col>
      <xdr:colOff>202631</xdr:colOff>
      <xdr:row>151</xdr:row>
      <xdr:rowOff>71912</xdr:rowOff>
    </xdr:to>
    <xdr:sp macro="" textlink="">
      <xdr:nvSpPr>
        <xdr:cNvPr id="3" name="Rectangle 2">
          <a:extLst>
            <a:ext uri="{FF2B5EF4-FFF2-40B4-BE49-F238E27FC236}">
              <a16:creationId xmlns:a16="http://schemas.microsoft.com/office/drawing/2014/main" id="{4BB12A8E-23F9-34CF-2DA6-9A469AAE506C}"/>
            </a:ext>
          </a:extLst>
        </xdr:cNvPr>
        <xdr:cNvSpPr/>
      </xdr:nvSpPr>
      <xdr:spPr>
        <a:xfrm>
          <a:off x="9898479" y="26808686"/>
          <a:ext cx="5655277" cy="2743101"/>
        </a:xfrm>
        <a:prstGeom prst="rect">
          <a:avLst/>
        </a:prstGeom>
        <a:solidFill>
          <a:schemeClr val="tx2">
            <a:lumMod val="75000"/>
            <a:lumOff val="25000"/>
          </a:schemeClr>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a:t>→ 40–50 Segment</a:t>
          </a:r>
          <a:endParaRPr lang="en-US"/>
        </a:p>
        <a:p>
          <a:r>
            <a:rPr lang="en-US"/>
            <a:t>They are </a:t>
          </a:r>
          <a:r>
            <a:rPr lang="en-US" b="1"/>
            <a:t>willing to pay the most per person</a:t>
          </a:r>
          <a:r>
            <a:rPr lang="en-US"/>
            <a:t>.</a:t>
          </a:r>
        </a:p>
        <a:p>
          <a:r>
            <a:rPr lang="en-US"/>
            <a:t>Strategy: Offer </a:t>
          </a:r>
          <a:r>
            <a:rPr lang="en-US" b="1"/>
            <a:t>premium tiers, exclusive events, early access to content</a:t>
          </a:r>
          <a:r>
            <a:rPr lang="en-US"/>
            <a:t>, family bundles.</a:t>
          </a:r>
        </a:p>
        <a:p>
          <a:r>
            <a:rPr lang="en-US" b="1"/>
            <a:t>→ 30–39 Segment</a:t>
          </a:r>
          <a:endParaRPr lang="en-US"/>
        </a:p>
        <a:p>
          <a:r>
            <a:rPr lang="en-US"/>
            <a:t>Slightly above average, stable spenders.</a:t>
          </a:r>
        </a:p>
        <a:p>
          <a:r>
            <a:rPr lang="en-US"/>
            <a:t>Strategy: Position </a:t>
          </a:r>
          <a:r>
            <a:rPr lang="en-US" b="1"/>
            <a:t>family &amp; career lifestyle entertainment</a:t>
          </a:r>
          <a:r>
            <a:rPr lang="en-US"/>
            <a:t>, bundle kids + lifestyle shows.</a:t>
          </a:r>
        </a:p>
        <a:p>
          <a:r>
            <a:rPr lang="en-US" b="1"/>
            <a:t>→ 20–29 Segment</a:t>
          </a:r>
          <a:endParaRPr lang="en-US"/>
        </a:p>
        <a:p>
          <a:r>
            <a:rPr lang="en-US"/>
            <a:t>Lowest per person spend but </a:t>
          </a:r>
          <a:r>
            <a:rPr lang="en-US" b="1"/>
            <a:t>likely highest number of subscribers</a:t>
          </a:r>
          <a:r>
            <a:rPr lang="en-US"/>
            <a:t>.</a:t>
          </a:r>
        </a:p>
        <a:p>
          <a:r>
            <a:rPr lang="en-US"/>
            <a:t>Strategy: Focus on </a:t>
          </a:r>
          <a:r>
            <a:rPr lang="en-US" b="1"/>
            <a:t>affordable packs, student discounts, and shareable plans</a:t>
          </a:r>
          <a:r>
            <a:rPr lang="en-US"/>
            <a:t> to drive adoption.</a:t>
          </a:r>
        </a:p>
        <a:p>
          <a:r>
            <a:rPr lang="en-US" b="1"/>
            <a:t>→ 10–19 Segment</a:t>
          </a:r>
          <a:endParaRPr lang="en-US"/>
        </a:p>
        <a:p>
          <a:r>
            <a:rPr lang="en-US"/>
            <a:t>Strong per-person spend suggests </a:t>
          </a:r>
          <a:r>
            <a:rPr lang="en-US" b="1"/>
            <a:t>parent-supported spending</a:t>
          </a:r>
          <a:r>
            <a:rPr lang="en-US"/>
            <a:t>.</a:t>
          </a:r>
        </a:p>
        <a:p>
          <a:r>
            <a:rPr lang="en-US"/>
            <a:t>Strategy: Introduce </a:t>
          </a:r>
          <a:r>
            <a:rPr lang="en-US" b="1"/>
            <a:t>youth-oriented packages (gaming, anime, short-form content)</a:t>
          </a:r>
          <a:r>
            <a:rPr lang="en-US"/>
            <a:t> to build long-term loyalty.</a:t>
          </a:r>
        </a:p>
        <a:p>
          <a:pPr algn="l"/>
          <a:endParaRPr lang="en-US" sz="1100"/>
        </a:p>
      </xdr:txBody>
    </xdr:sp>
    <xdr:clientData/>
  </xdr:twoCellAnchor>
  <xdr:twoCellAnchor>
    <xdr:from>
      <xdr:col>12</xdr:col>
      <xdr:colOff>23087</xdr:colOff>
      <xdr:row>0</xdr:row>
      <xdr:rowOff>185332</xdr:rowOff>
    </xdr:from>
    <xdr:to>
      <xdr:col>19</xdr:col>
      <xdr:colOff>298140</xdr:colOff>
      <xdr:row>14</xdr:row>
      <xdr:rowOff>152876</xdr:rowOff>
    </xdr:to>
    <xdr:graphicFrame macro="">
      <xdr:nvGraphicFramePr>
        <xdr:cNvPr id="6" name="Chart 5">
          <a:extLst>
            <a:ext uri="{FF2B5EF4-FFF2-40B4-BE49-F238E27FC236}">
              <a16:creationId xmlns:a16="http://schemas.microsoft.com/office/drawing/2014/main" id="{A04C05C3-94A6-7765-D379-EE7D67CB4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860913</xdr:colOff>
      <xdr:row>173</xdr:row>
      <xdr:rowOff>0</xdr:rowOff>
    </xdr:from>
    <xdr:to>
      <xdr:col>7</xdr:col>
      <xdr:colOff>590562</xdr:colOff>
      <xdr:row>187</xdr:row>
      <xdr:rowOff>131152</xdr:rowOff>
    </xdr:to>
    <xdr:graphicFrame macro="">
      <xdr:nvGraphicFramePr>
        <xdr:cNvPr id="13" name="Chart 12">
          <a:extLst>
            <a:ext uri="{FF2B5EF4-FFF2-40B4-BE49-F238E27FC236}">
              <a16:creationId xmlns:a16="http://schemas.microsoft.com/office/drawing/2014/main" id="{94961C38-7FA2-42D3-9B5B-4C589D6D2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1174750</xdr:colOff>
      <xdr:row>205</xdr:row>
      <xdr:rowOff>32885</xdr:rowOff>
    </xdr:from>
    <xdr:to>
      <xdr:col>7</xdr:col>
      <xdr:colOff>668702</xdr:colOff>
      <xdr:row>219</xdr:row>
      <xdr:rowOff>122950</xdr:rowOff>
    </xdr:to>
    <xdr:graphicFrame macro="">
      <xdr:nvGraphicFramePr>
        <xdr:cNvPr id="14" name="Chart 13">
          <a:extLst>
            <a:ext uri="{FF2B5EF4-FFF2-40B4-BE49-F238E27FC236}">
              <a16:creationId xmlns:a16="http://schemas.microsoft.com/office/drawing/2014/main" id="{6E53520D-7817-4D49-90AF-567B14806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663620</xdr:colOff>
      <xdr:row>235</xdr:row>
      <xdr:rowOff>29066</xdr:rowOff>
    </xdr:from>
    <xdr:to>
      <xdr:col>7</xdr:col>
      <xdr:colOff>146617</xdr:colOff>
      <xdr:row>249</xdr:row>
      <xdr:rowOff>17253</xdr:rowOff>
    </xdr:to>
    <xdr:graphicFrame macro="">
      <xdr:nvGraphicFramePr>
        <xdr:cNvPr id="15" name="Chart 14">
          <a:extLst>
            <a:ext uri="{FF2B5EF4-FFF2-40B4-BE49-F238E27FC236}">
              <a16:creationId xmlns:a16="http://schemas.microsoft.com/office/drawing/2014/main" id="{992351F3-4070-4725-B5F0-A2F0D9B2D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587375</xdr:colOff>
      <xdr:row>262</xdr:row>
      <xdr:rowOff>15875</xdr:rowOff>
    </xdr:from>
    <xdr:to>
      <xdr:col>7</xdr:col>
      <xdr:colOff>105296</xdr:colOff>
      <xdr:row>275</xdr:row>
      <xdr:rowOff>142822</xdr:rowOff>
    </xdr:to>
    <xdr:graphicFrame macro="">
      <xdr:nvGraphicFramePr>
        <xdr:cNvPr id="16" name="Chart 15">
          <a:extLst>
            <a:ext uri="{FF2B5EF4-FFF2-40B4-BE49-F238E27FC236}">
              <a16:creationId xmlns:a16="http://schemas.microsoft.com/office/drawing/2014/main" id="{745EE624-7499-43E3-BC8C-A940B7ACA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322</xdr:row>
      <xdr:rowOff>0</xdr:rowOff>
    </xdr:from>
    <xdr:to>
      <xdr:col>5</xdr:col>
      <xdr:colOff>436685</xdr:colOff>
      <xdr:row>337</xdr:row>
      <xdr:rowOff>26751</xdr:rowOff>
    </xdr:to>
    <xdr:graphicFrame macro="">
      <xdr:nvGraphicFramePr>
        <xdr:cNvPr id="18" name="Chart 17">
          <a:extLst>
            <a:ext uri="{FF2B5EF4-FFF2-40B4-BE49-F238E27FC236}">
              <a16:creationId xmlns:a16="http://schemas.microsoft.com/office/drawing/2014/main" id="{CD1E051F-E7A5-403C-9D9A-99C93AF71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238125</xdr:colOff>
      <xdr:row>352</xdr:row>
      <xdr:rowOff>15875</xdr:rowOff>
    </xdr:from>
    <xdr:to>
      <xdr:col>5</xdr:col>
      <xdr:colOff>524061</xdr:colOff>
      <xdr:row>366</xdr:row>
      <xdr:rowOff>92075</xdr:rowOff>
    </xdr:to>
    <xdr:graphicFrame macro="">
      <xdr:nvGraphicFramePr>
        <xdr:cNvPr id="19" name="Chart 18">
          <a:extLst>
            <a:ext uri="{FF2B5EF4-FFF2-40B4-BE49-F238E27FC236}">
              <a16:creationId xmlns:a16="http://schemas.microsoft.com/office/drawing/2014/main" id="{ABE9A4D2-BF10-46D1-A719-985ADBA2C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1397000</xdr:colOff>
      <xdr:row>291</xdr:row>
      <xdr:rowOff>160336</xdr:rowOff>
    </xdr:from>
    <xdr:to>
      <xdr:col>3</xdr:col>
      <xdr:colOff>500062</xdr:colOff>
      <xdr:row>308</xdr:row>
      <xdr:rowOff>63499</xdr:rowOff>
    </xdr:to>
    <xdr:graphicFrame macro="">
      <xdr:nvGraphicFramePr>
        <xdr:cNvPr id="21" name="Chart 20">
          <a:extLst>
            <a:ext uri="{FF2B5EF4-FFF2-40B4-BE49-F238E27FC236}">
              <a16:creationId xmlns:a16="http://schemas.microsoft.com/office/drawing/2014/main" id="{8068B451-D391-C206-EFB8-53D8AAED7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7770</xdr:colOff>
      <xdr:row>173</xdr:row>
      <xdr:rowOff>7770</xdr:rowOff>
    </xdr:from>
    <xdr:to>
      <xdr:col>16</xdr:col>
      <xdr:colOff>133772</xdr:colOff>
      <xdr:row>188</xdr:row>
      <xdr:rowOff>57726</xdr:rowOff>
    </xdr:to>
    <xdr:sp macro="" textlink="">
      <xdr:nvSpPr>
        <xdr:cNvPr id="22" name="Rectangle 21">
          <a:extLst>
            <a:ext uri="{FF2B5EF4-FFF2-40B4-BE49-F238E27FC236}">
              <a16:creationId xmlns:a16="http://schemas.microsoft.com/office/drawing/2014/main" id="{4758487B-E1C3-8B19-B16B-AC15AE9A2328}"/>
            </a:ext>
          </a:extLst>
        </xdr:cNvPr>
        <xdr:cNvSpPr/>
      </xdr:nvSpPr>
      <xdr:spPr>
        <a:xfrm>
          <a:off x="12938679" y="33330838"/>
          <a:ext cx="4931798" cy="2864161"/>
        </a:xfrm>
        <a:prstGeom prst="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a:t>Age group 40–50</a:t>
          </a:r>
          <a:r>
            <a:rPr lang="en-US" sz="1400"/>
            <a:t> represents the </a:t>
          </a:r>
          <a:r>
            <a:rPr lang="en-US" sz="1400" b="1"/>
            <a:t>largest share (35%)</a:t>
          </a:r>
          <a:r>
            <a:rPr lang="en-US" sz="1400"/>
            <a:t>, indicating that this group has the highest engagement or preference for the platform.</a:t>
          </a:r>
        </a:p>
        <a:p>
          <a:r>
            <a:rPr lang="en-US" sz="1400" b="1"/>
            <a:t>Age group 20–29</a:t>
          </a:r>
          <a:r>
            <a:rPr lang="en-US" sz="1400"/>
            <a:t> follows closely with </a:t>
          </a:r>
          <a:r>
            <a:rPr lang="en-US" sz="1400" b="1"/>
            <a:t>30%</a:t>
          </a:r>
          <a:r>
            <a:rPr lang="en-US" sz="1400"/>
            <a:t>, showing strong platform usage among young adults.</a:t>
          </a:r>
        </a:p>
        <a:p>
          <a:r>
            <a:rPr lang="en-US" sz="1400" b="1"/>
            <a:t>Age group 30–39</a:t>
          </a:r>
          <a:r>
            <a:rPr lang="en-US" sz="1400"/>
            <a:t> contributes </a:t>
          </a:r>
          <a:r>
            <a:rPr lang="en-US" sz="1400" b="1"/>
            <a:t>29%</a:t>
          </a:r>
          <a:r>
            <a:rPr lang="en-US" sz="1400"/>
            <a:t>, nearly equal to the 20–29 segment, suggesting balanced preference between mid-aged users.</a:t>
          </a:r>
        </a:p>
        <a:p>
          <a:r>
            <a:rPr lang="en-US" sz="1400" b="1"/>
            <a:t>Age group 10–19</a:t>
          </a:r>
          <a:r>
            <a:rPr lang="en-US" sz="1400"/>
            <a:t> accounts for only </a:t>
          </a:r>
          <a:r>
            <a:rPr lang="en-US" sz="1400" b="1"/>
            <a:t>6%</a:t>
          </a:r>
          <a:r>
            <a:rPr lang="en-US" sz="1400"/>
            <a:t>, showing </a:t>
          </a:r>
          <a:r>
            <a:rPr lang="en-US" sz="1400" b="1"/>
            <a:t>minimal engagement</a:t>
          </a:r>
          <a:r>
            <a:rPr lang="en-US" sz="1400"/>
            <a:t> or lower preference compared to older groups.</a:t>
          </a:r>
        </a:p>
        <a:p>
          <a:r>
            <a:rPr lang="en-US" sz="1400"/>
            <a:t>Overall, the platform is </a:t>
          </a:r>
          <a:r>
            <a:rPr lang="en-US" sz="1400" b="1"/>
            <a:t>most popular among adults aged 20–50</a:t>
          </a:r>
          <a:r>
            <a:rPr lang="en-US" sz="1400"/>
            <a:t>, while </a:t>
          </a:r>
          <a:r>
            <a:rPr lang="en-US" sz="1400" b="1"/>
            <a:t>teen users (10–19)</a:t>
          </a:r>
          <a:r>
            <a:rPr lang="en-US" sz="1400"/>
            <a:t> form a small portion of the audience.</a:t>
          </a:r>
        </a:p>
        <a:p>
          <a:pPr algn="l"/>
          <a:endParaRPr lang="en-US" sz="1100"/>
        </a:p>
      </xdr:txBody>
    </xdr:sp>
    <xdr:clientData/>
  </xdr:twoCellAnchor>
  <xdr:twoCellAnchor>
    <xdr:from>
      <xdr:col>9</xdr:col>
      <xdr:colOff>20266</xdr:colOff>
      <xdr:row>205</xdr:row>
      <xdr:rowOff>40532</xdr:rowOff>
    </xdr:from>
    <xdr:to>
      <xdr:col>18</xdr:col>
      <xdr:colOff>101330</xdr:colOff>
      <xdr:row>219</xdr:row>
      <xdr:rowOff>60798</xdr:rowOff>
    </xdr:to>
    <xdr:sp macro="" textlink="">
      <xdr:nvSpPr>
        <xdr:cNvPr id="23" name="Rectangle 22">
          <a:extLst>
            <a:ext uri="{FF2B5EF4-FFF2-40B4-BE49-F238E27FC236}">
              <a16:creationId xmlns:a16="http://schemas.microsoft.com/office/drawing/2014/main" id="{2A0F930B-DC37-60EF-F908-D381D132FAB9}"/>
            </a:ext>
          </a:extLst>
        </xdr:cNvPr>
        <xdr:cNvSpPr/>
      </xdr:nvSpPr>
      <xdr:spPr>
        <a:xfrm>
          <a:off x="13416064" y="38464787"/>
          <a:ext cx="5654202" cy="25737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a:t>Hotstar (49)</a:t>
          </a:r>
          <a:r>
            <a:rPr lang="en-US" sz="1400"/>
            <a:t> has the </a:t>
          </a:r>
          <a:r>
            <a:rPr lang="en-US" sz="1400" b="1"/>
            <a:t>highest number of users</a:t>
          </a:r>
          <a:r>
            <a:rPr lang="en-US" sz="1400"/>
            <a:t>, making it the most preferred streaming platform.</a:t>
          </a:r>
        </a:p>
        <a:p>
          <a:r>
            <a:rPr lang="en-US" sz="1400" b="1"/>
            <a:t>Zee5 (47)</a:t>
          </a:r>
          <a:r>
            <a:rPr lang="en-US" sz="1400"/>
            <a:t> and </a:t>
          </a:r>
          <a:r>
            <a:rPr lang="en-US" sz="1400" b="1"/>
            <a:t>Disney+ (46)</a:t>
          </a:r>
          <a:r>
            <a:rPr lang="en-US" sz="1400"/>
            <a:t> follow closely, showing strong competition and similar popularity.</a:t>
          </a:r>
        </a:p>
        <a:p>
          <a:r>
            <a:rPr lang="en-US" sz="1400" b="1"/>
            <a:t>Sony Liv (45)</a:t>
          </a:r>
          <a:r>
            <a:rPr lang="en-US" sz="1400"/>
            <a:t> also holds a significant share, slightly below the top three platforms.</a:t>
          </a:r>
        </a:p>
        <a:p>
          <a:r>
            <a:rPr lang="en-US" sz="1400" b="1"/>
            <a:t>Amazon Prime (34)</a:t>
          </a:r>
          <a:r>
            <a:rPr lang="en-US" sz="1400"/>
            <a:t> and </a:t>
          </a:r>
          <a:r>
            <a:rPr lang="en-US" sz="1400" b="1"/>
            <a:t>Netflix (29)</a:t>
          </a:r>
          <a:r>
            <a:rPr lang="en-US" sz="1400"/>
            <a:t> have </a:t>
          </a:r>
          <a:r>
            <a:rPr lang="en-US" sz="1400" b="1"/>
            <a:t>relatively lower user counts</a:t>
          </a:r>
          <a:r>
            <a:rPr lang="en-US" sz="1400"/>
            <a:t>, indicating lesser preference compared to Indian platforms.</a:t>
          </a:r>
        </a:p>
        <a:p>
          <a:r>
            <a:rPr lang="en-US" sz="1400"/>
            <a:t>Overall, </a:t>
          </a:r>
          <a:r>
            <a:rPr lang="en-US" sz="1400" b="1"/>
            <a:t>regional and affordable streaming platforms (Hotstar, Zee5, Sony Liv)</a:t>
          </a:r>
          <a:r>
            <a:rPr lang="en-US" sz="1400"/>
            <a:t> dominate user preference over </a:t>
          </a:r>
          <a:r>
            <a:rPr lang="en-US" sz="1400" b="1"/>
            <a:t>international platforms (Netflix, Amazon Prime)</a:t>
          </a:r>
          <a:r>
            <a:rPr lang="en-US" sz="1400"/>
            <a:t>.</a:t>
          </a:r>
        </a:p>
        <a:p>
          <a:pPr algn="l"/>
          <a:endParaRPr lang="en-US" sz="1400"/>
        </a:p>
      </xdr:txBody>
    </xdr:sp>
    <xdr:clientData/>
  </xdr:twoCellAnchor>
  <xdr:twoCellAnchor>
    <xdr:from>
      <xdr:col>10</xdr:col>
      <xdr:colOff>0</xdr:colOff>
      <xdr:row>169</xdr:row>
      <xdr:rowOff>0</xdr:rowOff>
    </xdr:from>
    <xdr:to>
      <xdr:col>10</xdr:col>
      <xdr:colOff>381000</xdr:colOff>
      <xdr:row>170</xdr:row>
      <xdr:rowOff>123825</xdr:rowOff>
    </xdr:to>
    <xdr:sp macro="" textlink="">
      <xdr:nvSpPr>
        <xdr:cNvPr id="1025" name="Text Box 1">
          <a:extLst>
            <a:ext uri="{FF2B5EF4-FFF2-40B4-BE49-F238E27FC236}">
              <a16:creationId xmlns:a16="http://schemas.microsoft.com/office/drawing/2014/main" id="{4D7EB273-6E96-CDE6-8C7F-2A8266C0EC3E}"/>
            </a:ext>
          </a:extLst>
        </xdr:cNvPr>
        <xdr:cNvSpPr txBox="1">
          <a:spLocks noChangeArrowheads="1"/>
        </xdr:cNvSpPr>
      </xdr:nvSpPr>
      <xdr:spPr bwMode="auto">
        <a:xfrm>
          <a:off x="14077950" y="33051750"/>
          <a:ext cx="381000" cy="314325"/>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en-US" sz="1100" b="0" i="0" u="none" strike="noStrike" baseline="0">
              <a:solidFill>
                <a:srgbClr val="000000"/>
              </a:solidFill>
              <a:latin typeface="Aptos Narrow"/>
            </a:rPr>
            <a:t>Hotstar (49) has the highest number of users, making it the most preferred streaming platform.</a:t>
          </a:r>
        </a:p>
        <a:p>
          <a:pPr algn="l" rtl="0">
            <a:defRPr sz="1000"/>
          </a:pPr>
          <a:endParaRPr lang="en-US" sz="1100" b="0" i="0" u="none" strike="noStrike" baseline="0">
            <a:solidFill>
              <a:srgbClr val="000000"/>
            </a:solidFill>
            <a:latin typeface="Aptos Narrow"/>
          </a:endParaRPr>
        </a:p>
        <a:p>
          <a:pPr algn="l" rtl="0">
            <a:defRPr sz="1000"/>
          </a:pPr>
          <a:r>
            <a:rPr lang="en-US" sz="1100" b="0" i="0" u="none" strike="noStrike" baseline="0">
              <a:solidFill>
                <a:srgbClr val="000000"/>
              </a:solidFill>
              <a:latin typeface="Aptos Narrow"/>
            </a:rPr>
            <a:t>Zee5 (47) and Disney+ (46) follow closely, showing strong competition and similar popularity.</a:t>
          </a:r>
        </a:p>
        <a:p>
          <a:pPr algn="l" rtl="0">
            <a:defRPr sz="1000"/>
          </a:pPr>
          <a:endParaRPr lang="en-US" sz="1100" b="0" i="0" u="none" strike="noStrike" baseline="0">
            <a:solidFill>
              <a:srgbClr val="000000"/>
            </a:solidFill>
            <a:latin typeface="Aptos Narrow"/>
          </a:endParaRPr>
        </a:p>
        <a:p>
          <a:pPr algn="l" rtl="0">
            <a:defRPr sz="1000"/>
          </a:pPr>
          <a:r>
            <a:rPr lang="en-US" sz="1100" b="0" i="0" u="none" strike="noStrike" baseline="0">
              <a:solidFill>
                <a:srgbClr val="000000"/>
              </a:solidFill>
              <a:latin typeface="Aptos Narrow"/>
            </a:rPr>
            <a:t>Sony Liv (45) also holds a significant share, slightly below the top three platforms.</a:t>
          </a:r>
        </a:p>
        <a:p>
          <a:pPr algn="l" rtl="0">
            <a:defRPr sz="1000"/>
          </a:pPr>
          <a:endParaRPr lang="en-US" sz="1100" b="0" i="0" u="none" strike="noStrike" baseline="0">
            <a:solidFill>
              <a:srgbClr val="000000"/>
            </a:solidFill>
            <a:latin typeface="Aptos Narrow"/>
          </a:endParaRPr>
        </a:p>
        <a:p>
          <a:pPr algn="l" rtl="0">
            <a:defRPr sz="1000"/>
          </a:pPr>
          <a:r>
            <a:rPr lang="en-US" sz="1100" b="0" i="0" u="none" strike="noStrike" baseline="0">
              <a:solidFill>
                <a:srgbClr val="000000"/>
              </a:solidFill>
              <a:latin typeface="Aptos Narrow"/>
            </a:rPr>
            <a:t>Amazon Prime (34) and Netflix (29) have relatively lower user counts, indicating lesser preference compared to Indian platforms.</a:t>
          </a:r>
        </a:p>
        <a:p>
          <a:pPr algn="l" rtl="0">
            <a:defRPr sz="1000"/>
          </a:pPr>
          <a:endParaRPr lang="en-US" sz="1100" b="0" i="0" u="none" strike="noStrike" baseline="0">
            <a:solidFill>
              <a:srgbClr val="000000"/>
            </a:solidFill>
            <a:latin typeface="Aptos Narrow"/>
          </a:endParaRPr>
        </a:p>
        <a:p>
          <a:pPr algn="l" rtl="0">
            <a:defRPr sz="1000"/>
          </a:pPr>
          <a:r>
            <a:rPr lang="en-US" sz="1100" b="0" i="0" u="none" strike="noStrike" baseline="0">
              <a:solidFill>
                <a:srgbClr val="000000"/>
              </a:solidFill>
              <a:latin typeface="Aptos Narrow"/>
            </a:rPr>
            <a:t>Overall, regional and affordable streaming platforms (Hotstar, Zee5, Sony Liv) dominate user preference over international platforms (Netflix, Amazon Prime).</a:t>
          </a:r>
        </a:p>
      </xdr:txBody>
    </xdr:sp>
    <xdr:clientData/>
  </xdr:twoCellAnchor>
  <xdr:twoCellAnchor>
    <xdr:from>
      <xdr:col>10</xdr:col>
      <xdr:colOff>0</xdr:colOff>
      <xdr:row>169</xdr:row>
      <xdr:rowOff>0</xdr:rowOff>
    </xdr:from>
    <xdr:to>
      <xdr:col>10</xdr:col>
      <xdr:colOff>381000</xdr:colOff>
      <xdr:row>170</xdr:row>
      <xdr:rowOff>123825</xdr:rowOff>
    </xdr:to>
    <xdr:sp macro="" textlink="">
      <xdr:nvSpPr>
        <xdr:cNvPr id="1026" name="Text Box 2">
          <a:extLst>
            <a:ext uri="{FF2B5EF4-FFF2-40B4-BE49-F238E27FC236}">
              <a16:creationId xmlns:a16="http://schemas.microsoft.com/office/drawing/2014/main" id="{CA8E101D-35CC-CA90-4EE3-D5BE0202A185}"/>
            </a:ext>
          </a:extLst>
        </xdr:cNvPr>
        <xdr:cNvSpPr txBox="1">
          <a:spLocks noChangeArrowheads="1"/>
        </xdr:cNvSpPr>
      </xdr:nvSpPr>
      <xdr:spPr bwMode="auto">
        <a:xfrm>
          <a:off x="14077950" y="33051750"/>
          <a:ext cx="381000" cy="314325"/>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en-US" sz="1100" b="0" i="0" u="none" strike="noStrike" baseline="0">
              <a:solidFill>
                <a:srgbClr val="000000"/>
              </a:solidFill>
              <a:latin typeface="Aptos Narrow"/>
            </a:rPr>
            <a:t>Hotstar (49) has the highest number of users, making it the most preferred streaming platform.</a:t>
          </a:r>
        </a:p>
        <a:p>
          <a:pPr algn="l" rtl="0">
            <a:defRPr sz="1000"/>
          </a:pPr>
          <a:endParaRPr lang="en-US" sz="1100" b="0" i="0" u="none" strike="noStrike" baseline="0">
            <a:solidFill>
              <a:srgbClr val="000000"/>
            </a:solidFill>
            <a:latin typeface="Aptos Narrow"/>
          </a:endParaRPr>
        </a:p>
        <a:p>
          <a:pPr algn="l" rtl="0">
            <a:defRPr sz="1000"/>
          </a:pPr>
          <a:r>
            <a:rPr lang="en-US" sz="1100" b="0" i="0" u="none" strike="noStrike" baseline="0">
              <a:solidFill>
                <a:srgbClr val="000000"/>
              </a:solidFill>
              <a:latin typeface="Aptos Narrow"/>
            </a:rPr>
            <a:t>Zee5 (47) and Disney+ (46) follow closely, showing strong competition and similar popularity.</a:t>
          </a:r>
        </a:p>
        <a:p>
          <a:pPr algn="l" rtl="0">
            <a:defRPr sz="1000"/>
          </a:pPr>
          <a:endParaRPr lang="en-US" sz="1100" b="0" i="0" u="none" strike="noStrike" baseline="0">
            <a:solidFill>
              <a:srgbClr val="000000"/>
            </a:solidFill>
            <a:latin typeface="Aptos Narrow"/>
          </a:endParaRPr>
        </a:p>
        <a:p>
          <a:pPr algn="l" rtl="0">
            <a:defRPr sz="1000"/>
          </a:pPr>
          <a:r>
            <a:rPr lang="en-US" sz="1100" b="0" i="0" u="none" strike="noStrike" baseline="0">
              <a:solidFill>
                <a:srgbClr val="000000"/>
              </a:solidFill>
              <a:latin typeface="Aptos Narrow"/>
            </a:rPr>
            <a:t>Sony Liv (45) also holds a significant share, slightly below the top three platforms.</a:t>
          </a:r>
        </a:p>
        <a:p>
          <a:pPr algn="l" rtl="0">
            <a:defRPr sz="1000"/>
          </a:pPr>
          <a:endParaRPr lang="en-US" sz="1100" b="0" i="0" u="none" strike="noStrike" baseline="0">
            <a:solidFill>
              <a:srgbClr val="000000"/>
            </a:solidFill>
            <a:latin typeface="Aptos Narrow"/>
          </a:endParaRPr>
        </a:p>
        <a:p>
          <a:pPr algn="l" rtl="0">
            <a:defRPr sz="1000"/>
          </a:pPr>
          <a:r>
            <a:rPr lang="en-US" sz="1100" b="0" i="0" u="none" strike="noStrike" baseline="0">
              <a:solidFill>
                <a:srgbClr val="000000"/>
              </a:solidFill>
              <a:latin typeface="Aptos Narrow"/>
            </a:rPr>
            <a:t>Amazon Prime (34) and Netflix (29) have relatively lower user counts, indicating lesser preference compared to Indian platforms.</a:t>
          </a:r>
        </a:p>
        <a:p>
          <a:pPr algn="l" rtl="0">
            <a:defRPr sz="1000"/>
          </a:pPr>
          <a:endParaRPr lang="en-US" sz="1100" b="0" i="0" u="none" strike="noStrike" baseline="0">
            <a:solidFill>
              <a:srgbClr val="000000"/>
            </a:solidFill>
            <a:latin typeface="Aptos Narrow"/>
          </a:endParaRPr>
        </a:p>
        <a:p>
          <a:pPr algn="l" rtl="0">
            <a:defRPr sz="1000"/>
          </a:pPr>
          <a:r>
            <a:rPr lang="en-US" sz="1100" b="0" i="0" u="none" strike="noStrike" baseline="0">
              <a:solidFill>
                <a:srgbClr val="000000"/>
              </a:solidFill>
              <a:latin typeface="Aptos Narrow"/>
            </a:rPr>
            <a:t>Overall, regional and affordable streaming platforms (Hotstar, Zee5, Sony Liv) dominate user preference over international platforms (Netflix, Amazon Prime).</a:t>
          </a:r>
        </a:p>
      </xdr:txBody>
    </xdr:sp>
    <xdr:clientData/>
  </xdr:twoCellAnchor>
  <xdr:twoCellAnchor>
    <xdr:from>
      <xdr:col>8</xdr:col>
      <xdr:colOff>40532</xdr:colOff>
      <xdr:row>235</xdr:row>
      <xdr:rowOff>40531</xdr:rowOff>
    </xdr:from>
    <xdr:to>
      <xdr:col>17</xdr:col>
      <xdr:colOff>587713</xdr:colOff>
      <xdr:row>248</xdr:row>
      <xdr:rowOff>141861</xdr:rowOff>
    </xdr:to>
    <xdr:sp macro="" textlink="">
      <xdr:nvSpPr>
        <xdr:cNvPr id="24" name="Rectangle 23">
          <a:extLst>
            <a:ext uri="{FF2B5EF4-FFF2-40B4-BE49-F238E27FC236}">
              <a16:creationId xmlns:a16="http://schemas.microsoft.com/office/drawing/2014/main" id="{9F5F85AF-3F50-5DBB-F90A-AA73FFF920C9}"/>
            </a:ext>
          </a:extLst>
        </xdr:cNvPr>
        <xdr:cNvSpPr/>
      </xdr:nvSpPr>
      <xdr:spPr>
        <a:xfrm>
          <a:off x="12970213" y="44078457"/>
          <a:ext cx="5978457" cy="247244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a:t>Event attendance increases significantly</a:t>
          </a:r>
          <a:r>
            <a:rPr lang="en-US" sz="1400"/>
            <a:t> from the </a:t>
          </a:r>
          <a:r>
            <a:rPr lang="en-US" sz="1400" b="1"/>
            <a:t>10–19 age group (43)</a:t>
          </a:r>
          <a:r>
            <a:rPr lang="en-US" sz="1400"/>
            <a:t> to the </a:t>
          </a:r>
          <a:r>
            <a:rPr lang="en-US" sz="1400" b="1"/>
            <a:t>20–29 group (428)</a:t>
          </a:r>
          <a:r>
            <a:rPr lang="en-US" sz="1400"/>
            <a:t>, indicating that young adults are the most active event-goers.</a:t>
          </a:r>
        </a:p>
        <a:p>
          <a:r>
            <a:rPr lang="en-US" sz="1400"/>
            <a:t>Attendance </a:t>
          </a:r>
          <a:r>
            <a:rPr lang="en-US" sz="1400" b="1"/>
            <a:t>drops slightly</a:t>
          </a:r>
          <a:r>
            <a:rPr lang="en-US" sz="1400"/>
            <a:t> in the </a:t>
          </a:r>
          <a:r>
            <a:rPr lang="en-US" sz="1400" b="1"/>
            <a:t>30–39 group (338)</a:t>
          </a:r>
          <a:r>
            <a:rPr lang="en-US" sz="1400"/>
            <a:t>, suggesting reduced participation due to possible work or family commitments.</a:t>
          </a:r>
        </a:p>
        <a:p>
          <a:r>
            <a:rPr lang="en-US" sz="1400"/>
            <a:t>The </a:t>
          </a:r>
          <a:r>
            <a:rPr lang="en-US" sz="1400" b="1"/>
            <a:t>40–50 group (471)</a:t>
          </a:r>
          <a:r>
            <a:rPr lang="en-US" sz="1400"/>
            <a:t> shows the </a:t>
          </a:r>
          <a:r>
            <a:rPr lang="en-US" sz="1400" b="1"/>
            <a:t>highest attendance</a:t>
          </a:r>
          <a:r>
            <a:rPr lang="en-US" sz="1400"/>
            <a:t>, indicating strong engagement among mature adults.</a:t>
          </a:r>
        </a:p>
        <a:p>
          <a:r>
            <a:rPr lang="en-US" sz="1400"/>
            <a:t>Overall, event attendance is </a:t>
          </a:r>
          <a:r>
            <a:rPr lang="en-US" sz="1400" b="1"/>
            <a:t>lowest among teens</a:t>
          </a:r>
          <a:r>
            <a:rPr lang="en-US" sz="1400"/>
            <a:t> and </a:t>
          </a:r>
          <a:r>
            <a:rPr lang="en-US" sz="1400" b="1"/>
            <a:t>highest among middle-aged adults</a:t>
          </a:r>
          <a:r>
            <a:rPr lang="en-US" sz="1400"/>
            <a:t>, showing that </a:t>
          </a:r>
          <a:r>
            <a:rPr lang="en-US" sz="1400" b="1"/>
            <a:t>older age groups (20–50)</a:t>
          </a:r>
          <a:r>
            <a:rPr lang="en-US" sz="1400"/>
            <a:t> are more involved in events.</a:t>
          </a:r>
        </a:p>
        <a:p>
          <a:r>
            <a:rPr lang="en-US" sz="1400"/>
            <a:t>The pattern suggests </a:t>
          </a:r>
          <a:r>
            <a:rPr lang="en-US" sz="1400" b="1"/>
            <a:t>growing interest in events with age</a:t>
          </a:r>
          <a:r>
            <a:rPr lang="en-US" sz="1400"/>
            <a:t>, possibly due to increased financial stability and social engagement.</a:t>
          </a:r>
        </a:p>
        <a:p>
          <a:pPr algn="l"/>
          <a:endParaRPr lang="en-US" sz="1400"/>
        </a:p>
      </xdr:txBody>
    </xdr:sp>
    <xdr:clientData/>
  </xdr:twoCellAnchor>
  <xdr:twoCellAnchor>
    <xdr:from>
      <xdr:col>8</xdr:col>
      <xdr:colOff>40532</xdr:colOff>
      <xdr:row>262</xdr:row>
      <xdr:rowOff>60798</xdr:rowOff>
    </xdr:from>
    <xdr:to>
      <xdr:col>17</xdr:col>
      <xdr:colOff>506649</xdr:colOff>
      <xdr:row>276</xdr:row>
      <xdr:rowOff>141861</xdr:rowOff>
    </xdr:to>
    <xdr:sp macro="" textlink="">
      <xdr:nvSpPr>
        <xdr:cNvPr id="25" name="Rectangle 24">
          <a:extLst>
            <a:ext uri="{FF2B5EF4-FFF2-40B4-BE49-F238E27FC236}">
              <a16:creationId xmlns:a16="http://schemas.microsoft.com/office/drawing/2014/main" id="{2A88182D-E0BA-E9E4-5DE7-61115BEEB49E}"/>
            </a:ext>
          </a:extLst>
        </xdr:cNvPr>
        <xdr:cNvSpPr/>
      </xdr:nvSpPr>
      <xdr:spPr>
        <a:xfrm>
          <a:off x="12970213" y="49165213"/>
          <a:ext cx="5897393" cy="26345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600" b="1"/>
            <a:t>Gender Breakdown</a:t>
          </a:r>
          <a:r>
            <a:rPr lang="en-US" sz="1600"/>
            <a:t>:</a:t>
          </a:r>
        </a:p>
        <a:p>
          <a:r>
            <a:rPr lang="en-US" sz="1600" b="1"/>
            <a:t>Female</a:t>
          </a:r>
          <a:r>
            <a:rPr lang="en-US" sz="1600"/>
            <a:t>: 51% of event attendees are female.</a:t>
          </a:r>
        </a:p>
        <a:p>
          <a:r>
            <a:rPr lang="en-US" sz="1600" b="1"/>
            <a:t>Male</a:t>
          </a:r>
          <a:r>
            <a:rPr lang="en-US" sz="1600"/>
            <a:t>: 49% of event attendees are male.</a:t>
          </a:r>
        </a:p>
        <a:p>
          <a:r>
            <a:rPr lang="en-US" sz="1600" b="1"/>
            <a:t>Near Equal Representation</a:t>
          </a:r>
          <a:r>
            <a:rPr lang="en-US" sz="1600"/>
            <a:t>:</a:t>
          </a:r>
          <a:br>
            <a:rPr lang="en-US" sz="1600"/>
          </a:br>
          <a:r>
            <a:rPr lang="en-US" sz="1600"/>
            <a:t>The attendance is almost evenly split between males and females, with females making up just slightly more than half of the total attendance.</a:t>
          </a:r>
        </a:p>
        <a:p>
          <a:r>
            <a:rPr lang="en-US" sz="1600" b="1"/>
            <a:t>Event Attendance Trends</a:t>
          </a:r>
          <a:r>
            <a:rPr lang="en-US" sz="1600"/>
            <a:t>:</a:t>
          </a:r>
          <a:br>
            <a:rPr lang="en-US" sz="1600"/>
          </a:br>
          <a:r>
            <a:rPr lang="en-US" sz="1600"/>
            <a:t>This suggests that gender distribution in this specific event or group is quite balanced, with no significant gender dominance.</a:t>
          </a:r>
        </a:p>
        <a:p>
          <a:pPr algn="l"/>
          <a:endParaRPr lang="en-US" sz="1100"/>
        </a:p>
      </xdr:txBody>
    </xdr:sp>
    <xdr:clientData/>
  </xdr:twoCellAnchor>
  <xdr:twoCellAnchor>
    <xdr:from>
      <xdr:col>3</xdr:col>
      <xdr:colOff>1175425</xdr:colOff>
      <xdr:row>292</xdr:row>
      <xdr:rowOff>0</xdr:rowOff>
    </xdr:from>
    <xdr:to>
      <xdr:col>9</xdr:col>
      <xdr:colOff>232833</xdr:colOff>
      <xdr:row>307</xdr:row>
      <xdr:rowOff>84666</xdr:rowOff>
    </xdr:to>
    <xdr:sp macro="" textlink="">
      <xdr:nvSpPr>
        <xdr:cNvPr id="26" name="Rectangle 25">
          <a:extLst>
            <a:ext uri="{FF2B5EF4-FFF2-40B4-BE49-F238E27FC236}">
              <a16:creationId xmlns:a16="http://schemas.microsoft.com/office/drawing/2014/main" id="{D583A137-DE75-39BF-4DAE-4A3DC83FC02C}"/>
            </a:ext>
          </a:extLst>
        </xdr:cNvPr>
        <xdr:cNvSpPr/>
      </xdr:nvSpPr>
      <xdr:spPr>
        <a:xfrm>
          <a:off x="8329758" y="57107667"/>
          <a:ext cx="5301575" cy="294216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a:t>Age Group 20-29</a:t>
          </a:r>
          <a:r>
            <a:rPr lang="en-US" sz="1400"/>
            <a:t>:</a:t>
          </a:r>
        </a:p>
        <a:p>
          <a:r>
            <a:rPr lang="en-US" sz="1400"/>
            <a:t>This group has the highest count, with just under 80 people indicating their favorite music genre.</a:t>
          </a:r>
        </a:p>
        <a:p>
          <a:r>
            <a:rPr lang="en-US" sz="1400" b="1"/>
            <a:t>Age Group 30-39</a:t>
          </a:r>
          <a:r>
            <a:rPr lang="en-US" sz="1400"/>
            <a:t>:</a:t>
          </a:r>
        </a:p>
        <a:p>
          <a:r>
            <a:rPr lang="en-US" sz="1400"/>
            <a:t>The count is slightly lower than the 20-29 group, with around 60 people.</a:t>
          </a:r>
        </a:p>
        <a:p>
          <a:r>
            <a:rPr lang="en-US" sz="1400" b="1"/>
            <a:t>Age Group 40-50</a:t>
          </a:r>
          <a:r>
            <a:rPr lang="en-US" sz="1400"/>
            <a:t>:</a:t>
          </a:r>
        </a:p>
        <a:p>
          <a:r>
            <a:rPr lang="en-US" sz="1400"/>
            <a:t>This group has the highest number of respondents, with close to 90 people showing their favorite music genre. It surpasses the other age groups.</a:t>
          </a:r>
        </a:p>
        <a:p>
          <a:r>
            <a:rPr lang="en-US" sz="1400" b="1"/>
            <a:t>Age Group 10-19</a:t>
          </a:r>
          <a:r>
            <a:rPr lang="en-US" sz="1400"/>
            <a:t>:</a:t>
          </a:r>
        </a:p>
        <a:p>
          <a:r>
            <a:rPr lang="en-US" sz="1400"/>
            <a:t>This group has the lowest count, with just over 20 people indicating their favorite music genre.</a:t>
          </a:r>
        </a:p>
        <a:p>
          <a:pPr algn="l"/>
          <a:endParaRPr lang="en-US" sz="1400"/>
        </a:p>
      </xdr:txBody>
    </xdr:sp>
    <xdr:clientData/>
  </xdr:twoCellAnchor>
  <xdr:twoCellAnchor>
    <xdr:from>
      <xdr:col>7</xdr:col>
      <xdr:colOff>20265</xdr:colOff>
      <xdr:row>322</xdr:row>
      <xdr:rowOff>40531</xdr:rowOff>
    </xdr:from>
    <xdr:to>
      <xdr:col>15</xdr:col>
      <xdr:colOff>526915</xdr:colOff>
      <xdr:row>337</xdr:row>
      <xdr:rowOff>20266</xdr:rowOff>
    </xdr:to>
    <xdr:sp macro="" textlink="">
      <xdr:nvSpPr>
        <xdr:cNvPr id="27" name="Rectangle 26">
          <a:extLst>
            <a:ext uri="{FF2B5EF4-FFF2-40B4-BE49-F238E27FC236}">
              <a16:creationId xmlns:a16="http://schemas.microsoft.com/office/drawing/2014/main" id="{C222774F-DA59-9953-F208-9476E2C926ED}"/>
            </a:ext>
          </a:extLst>
        </xdr:cNvPr>
        <xdr:cNvSpPr/>
      </xdr:nvSpPr>
      <xdr:spPr>
        <a:xfrm>
          <a:off x="11835318" y="60412818"/>
          <a:ext cx="5836597" cy="271563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a:t>Gender Breakdown</a:t>
          </a:r>
          <a:r>
            <a:rPr lang="en-US" sz="1400"/>
            <a:t>:</a:t>
          </a:r>
        </a:p>
        <a:p>
          <a:r>
            <a:rPr lang="en-US" sz="1400" b="1"/>
            <a:t>Female</a:t>
          </a:r>
          <a:r>
            <a:rPr lang="en-US" sz="1400"/>
            <a:t>: 52% of the participants identifying their favorite music genre are female.</a:t>
          </a:r>
        </a:p>
        <a:p>
          <a:r>
            <a:rPr lang="en-US" sz="1400" b="1"/>
            <a:t>Male</a:t>
          </a:r>
          <a:r>
            <a:rPr lang="en-US" sz="1400"/>
            <a:t>: 48% of the participants identifying their favorite music genre are male.</a:t>
          </a:r>
        </a:p>
        <a:p>
          <a:r>
            <a:rPr lang="en-US" sz="1400" b="1"/>
            <a:t>Balanced Gender Distribution</a:t>
          </a:r>
          <a:r>
            <a:rPr lang="en-US" sz="1400"/>
            <a:t>:</a:t>
          </a:r>
          <a:br>
            <a:rPr lang="en-US" sz="1400"/>
          </a:br>
          <a:r>
            <a:rPr lang="en-US" sz="1400"/>
            <a:t>The chart shows an almost equal distribution between male and female respondents, with females making up a slightly higher percentage (52%) compared to males (48%).</a:t>
          </a:r>
        </a:p>
        <a:p>
          <a:r>
            <a:rPr lang="en-US" sz="1400" b="1"/>
            <a:t>Music Preferences by Gender</a:t>
          </a:r>
          <a:r>
            <a:rPr lang="en-US" sz="1400"/>
            <a:t>:</a:t>
          </a:r>
          <a:br>
            <a:rPr lang="en-US" sz="1400"/>
          </a:br>
          <a:r>
            <a:rPr lang="en-US" sz="1400"/>
            <a:t>The data suggests that both genders are similarly engaged in sharing their favorite music genre, with only a small difference in the gender split.</a:t>
          </a:r>
        </a:p>
        <a:p>
          <a:pPr algn="l"/>
          <a:endParaRPr lang="en-US" sz="1400"/>
        </a:p>
      </xdr:txBody>
    </xdr:sp>
    <xdr:clientData/>
  </xdr:twoCellAnchor>
  <xdr:twoCellAnchor>
    <xdr:from>
      <xdr:col>7</xdr:col>
      <xdr:colOff>20266</xdr:colOff>
      <xdr:row>351</xdr:row>
      <xdr:rowOff>162127</xdr:rowOff>
    </xdr:from>
    <xdr:to>
      <xdr:col>17</xdr:col>
      <xdr:colOff>20266</xdr:colOff>
      <xdr:row>378</xdr:row>
      <xdr:rowOff>148167</xdr:rowOff>
    </xdr:to>
    <xdr:sp macro="" textlink="">
      <xdr:nvSpPr>
        <xdr:cNvPr id="28" name="Rectangle 27">
          <a:extLst>
            <a:ext uri="{FF2B5EF4-FFF2-40B4-BE49-F238E27FC236}">
              <a16:creationId xmlns:a16="http://schemas.microsoft.com/office/drawing/2014/main" id="{FFE6BAEC-BCB4-C3B1-531A-389E662D677A}"/>
            </a:ext>
          </a:extLst>
        </xdr:cNvPr>
        <xdr:cNvSpPr/>
      </xdr:nvSpPr>
      <xdr:spPr>
        <a:xfrm>
          <a:off x="11852433" y="68805627"/>
          <a:ext cx="6561666" cy="51295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600" b="1"/>
            <a:t>Gender Distribution</a:t>
          </a:r>
          <a:r>
            <a:rPr lang="en-US" sz="1600"/>
            <a:t>:</a:t>
          </a:r>
        </a:p>
        <a:p>
          <a:r>
            <a:rPr lang="en-US" sz="1600"/>
            <a:t>The chart separates the preferences of </a:t>
          </a:r>
          <a:r>
            <a:rPr lang="en-US" sz="1600" b="1"/>
            <a:t>female</a:t>
          </a:r>
          <a:r>
            <a:rPr lang="en-US" sz="1600"/>
            <a:t> and </a:t>
          </a:r>
          <a:r>
            <a:rPr lang="en-US" sz="1600" b="1"/>
            <a:t>male</a:t>
          </a:r>
          <a:r>
            <a:rPr lang="en-US" sz="1600"/>
            <a:t> participants.</a:t>
          </a:r>
        </a:p>
        <a:p>
          <a:r>
            <a:rPr lang="en-US" sz="1600" b="1"/>
            <a:t>Most Preferred Platform</a:t>
          </a:r>
          <a:r>
            <a:rPr lang="en-US" sz="1600"/>
            <a:t>:</a:t>
          </a:r>
        </a:p>
        <a:p>
          <a:r>
            <a:rPr lang="en-US" sz="1600" b="1"/>
            <a:t>Zee5</a:t>
          </a:r>
          <a:r>
            <a:rPr lang="en-US" sz="1600"/>
            <a:t> emerges as the most preferred platform overall, with </a:t>
          </a:r>
          <a:r>
            <a:rPr lang="en-US" sz="1600" b="1"/>
            <a:t>20</a:t>
          </a:r>
          <a:r>
            <a:rPr lang="en-US" sz="1600"/>
            <a:t> females and </a:t>
          </a:r>
          <a:r>
            <a:rPr lang="en-US" sz="1600" b="1"/>
            <a:t>27</a:t>
          </a:r>
          <a:r>
            <a:rPr lang="en-US" sz="1600"/>
            <a:t> males choosing it.</a:t>
          </a:r>
        </a:p>
        <a:p>
          <a:r>
            <a:rPr lang="en-US" sz="1600" b="1"/>
            <a:t>Gender Differences</a:t>
          </a:r>
          <a:r>
            <a:rPr lang="en-US" sz="1600"/>
            <a:t>:</a:t>
          </a:r>
        </a:p>
        <a:p>
          <a:r>
            <a:rPr lang="en-US" sz="1600" b="1"/>
            <a:t>Sony Liv</a:t>
          </a:r>
          <a:r>
            <a:rPr lang="en-US" sz="1600"/>
            <a:t> is highly favored by both genders, with a count of </a:t>
          </a:r>
          <a:r>
            <a:rPr lang="en-US" sz="1600" b="1"/>
            <a:t>20</a:t>
          </a:r>
          <a:r>
            <a:rPr lang="en-US" sz="1600"/>
            <a:t> females and </a:t>
          </a:r>
          <a:r>
            <a:rPr lang="en-US" sz="1600" b="1"/>
            <a:t>25</a:t>
          </a:r>
          <a:r>
            <a:rPr lang="en-US" sz="1600"/>
            <a:t> males, showing a stronger male preference for this platform.</a:t>
          </a:r>
        </a:p>
        <a:p>
          <a:r>
            <a:rPr lang="en-US" sz="1600" b="1"/>
            <a:t>Netflix</a:t>
          </a:r>
          <a:r>
            <a:rPr lang="en-US" sz="1600"/>
            <a:t> shows more balanced preference, with </a:t>
          </a:r>
          <a:r>
            <a:rPr lang="en-US" sz="1600" b="1"/>
            <a:t>13</a:t>
          </a:r>
          <a:r>
            <a:rPr lang="en-US" sz="1600"/>
            <a:t> females and </a:t>
          </a:r>
          <a:r>
            <a:rPr lang="en-US" sz="1600" b="1"/>
            <a:t>16</a:t>
          </a:r>
          <a:r>
            <a:rPr lang="en-US" sz="1600"/>
            <a:t> males selecting it.</a:t>
          </a:r>
        </a:p>
        <a:p>
          <a:r>
            <a:rPr lang="en-US" sz="1600" b="1"/>
            <a:t>Other Platforms</a:t>
          </a:r>
          <a:r>
            <a:rPr lang="en-US" sz="1600"/>
            <a:t>:</a:t>
          </a:r>
        </a:p>
        <a:p>
          <a:r>
            <a:rPr lang="en-US" sz="1600" b="1"/>
            <a:t>Hotstar</a:t>
          </a:r>
          <a:r>
            <a:rPr lang="en-US" sz="1600"/>
            <a:t> and </a:t>
          </a:r>
          <a:r>
            <a:rPr lang="en-US" sz="1600" b="1"/>
            <a:t>Disney+</a:t>
          </a:r>
          <a:r>
            <a:rPr lang="en-US" sz="1600"/>
            <a:t> have notable numbers, with </a:t>
          </a:r>
          <a:r>
            <a:rPr lang="en-US" sz="1600" b="1"/>
            <a:t>30</a:t>
          </a:r>
          <a:r>
            <a:rPr lang="en-US" sz="1600"/>
            <a:t> females preferring </a:t>
          </a:r>
          <a:r>
            <a:rPr lang="en-US" sz="1600" b="1"/>
            <a:t>Hotstar</a:t>
          </a:r>
          <a:r>
            <a:rPr lang="en-US" sz="1600"/>
            <a:t> compared to </a:t>
          </a:r>
          <a:r>
            <a:rPr lang="en-US" sz="1600" b="1"/>
            <a:t>19</a:t>
          </a:r>
          <a:r>
            <a:rPr lang="en-US" sz="1600"/>
            <a:t> males.</a:t>
          </a:r>
        </a:p>
        <a:p>
          <a:r>
            <a:rPr lang="en-US" sz="1600" b="1"/>
            <a:t>Amazon Prime</a:t>
          </a:r>
          <a:r>
            <a:rPr lang="en-US" sz="1600"/>
            <a:t> is the least favored among both genders, with </a:t>
          </a:r>
          <a:r>
            <a:rPr lang="en-US" sz="1600" b="1"/>
            <a:t>18</a:t>
          </a:r>
          <a:r>
            <a:rPr lang="en-US" sz="1600"/>
            <a:t> females and </a:t>
          </a:r>
          <a:r>
            <a:rPr lang="en-US" sz="1600" b="1"/>
            <a:t>16</a:t>
          </a:r>
          <a:r>
            <a:rPr lang="en-US" sz="1600"/>
            <a:t> males.</a:t>
          </a:r>
        </a:p>
        <a:p>
          <a:r>
            <a:rPr lang="en-US" sz="1600" b="1"/>
            <a:t>General Trends</a:t>
          </a:r>
          <a:r>
            <a:rPr lang="en-US" sz="1600"/>
            <a:t>:</a:t>
          </a:r>
        </a:p>
        <a:p>
          <a:r>
            <a:rPr lang="en-US" sz="1600"/>
            <a:t>There is a noticeable higher preference for </a:t>
          </a:r>
          <a:r>
            <a:rPr lang="en-US" sz="1600" b="1"/>
            <a:t>Zee5</a:t>
          </a:r>
          <a:r>
            <a:rPr lang="en-US" sz="1600"/>
            <a:t> and </a:t>
          </a:r>
          <a:r>
            <a:rPr lang="en-US" sz="1600" b="1"/>
            <a:t>Sony Liv</a:t>
          </a:r>
          <a:r>
            <a:rPr lang="en-US" sz="1600"/>
            <a:t> among males than females.</a:t>
          </a:r>
        </a:p>
        <a:p>
          <a:r>
            <a:rPr lang="en-US" sz="1600" b="1"/>
            <a:t>Hotstar</a:t>
          </a:r>
          <a:r>
            <a:rPr lang="en-US" sz="1600"/>
            <a:t> seems to be more popular with females, with a notable count of </a:t>
          </a:r>
          <a:r>
            <a:rPr lang="en-US" sz="1600" b="1"/>
            <a:t>30</a:t>
          </a:r>
          <a:r>
            <a:rPr lang="en-US" sz="1600"/>
            <a:t> versus </a:t>
          </a:r>
          <a:r>
            <a:rPr lang="en-US" sz="1600" b="1"/>
            <a:t>19</a:t>
          </a:r>
          <a:r>
            <a:rPr lang="en-US" sz="1600"/>
            <a:t> for males.</a:t>
          </a:r>
        </a:p>
        <a:p>
          <a:pPr algn="l"/>
          <a:endParaRPr lang="en-US" sz="1100"/>
        </a:p>
      </xdr:txBody>
    </xdr:sp>
    <xdr:clientData/>
  </xdr:twoCellAnchor>
  <xdr:twoCellAnchor>
    <xdr:from>
      <xdr:col>8</xdr:col>
      <xdr:colOff>0</xdr:colOff>
      <xdr:row>221</xdr:row>
      <xdr:rowOff>0</xdr:rowOff>
    </xdr:from>
    <xdr:to>
      <xdr:col>8</xdr:col>
      <xdr:colOff>381000</xdr:colOff>
      <xdr:row>222</xdr:row>
      <xdr:rowOff>123825</xdr:rowOff>
    </xdr:to>
    <xdr:sp macro="" textlink="">
      <xdr:nvSpPr>
        <xdr:cNvPr id="1027" name="Text Box 3">
          <a:extLst>
            <a:ext uri="{FF2B5EF4-FFF2-40B4-BE49-F238E27FC236}">
              <a16:creationId xmlns:a16="http://schemas.microsoft.com/office/drawing/2014/main" id="{132104A1-E9D6-4FAD-473B-0B8C781311D3}"/>
            </a:ext>
          </a:extLst>
        </xdr:cNvPr>
        <xdr:cNvSpPr txBox="1">
          <a:spLocks noChangeArrowheads="1"/>
        </xdr:cNvSpPr>
      </xdr:nvSpPr>
      <xdr:spPr bwMode="auto">
        <a:xfrm>
          <a:off x="12915900" y="43119675"/>
          <a:ext cx="381000" cy="314325"/>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en-US" sz="1100" b="0" i="0" u="none" strike="noStrike" baseline="0">
              <a:solidFill>
                <a:srgbClr val="000000"/>
              </a:solidFill>
              <a:latin typeface="Aptos Narrow"/>
            </a:rPr>
            <a:t>Gender Breakdown:</a:t>
          </a:r>
        </a:p>
        <a:p>
          <a:pPr algn="l" rtl="0">
            <a:defRPr sz="1000"/>
          </a:pPr>
          <a:endParaRPr lang="en-US" sz="1100" b="0" i="0" u="none" strike="noStrike" baseline="0">
            <a:solidFill>
              <a:srgbClr val="000000"/>
            </a:solidFill>
            <a:latin typeface="Aptos Narrow"/>
          </a:endParaRPr>
        </a:p>
        <a:p>
          <a:pPr algn="l" rtl="0">
            <a:defRPr sz="1000"/>
          </a:pPr>
          <a:r>
            <a:rPr lang="en-US" sz="1100" b="0" i="0" u="none" strike="noStrike" baseline="0">
              <a:solidFill>
                <a:srgbClr val="000000"/>
              </a:solidFill>
              <a:latin typeface="Aptos Narrow"/>
            </a:rPr>
            <a:t>Female: 51% of event attendees are female.</a:t>
          </a:r>
        </a:p>
        <a:p>
          <a:pPr algn="l" rtl="0">
            <a:defRPr sz="1000"/>
          </a:pPr>
          <a:endParaRPr lang="en-US" sz="1100" b="0" i="0" u="none" strike="noStrike" baseline="0">
            <a:solidFill>
              <a:srgbClr val="000000"/>
            </a:solidFill>
            <a:latin typeface="Aptos Narrow"/>
          </a:endParaRPr>
        </a:p>
        <a:p>
          <a:pPr algn="l" rtl="0">
            <a:defRPr sz="1000"/>
          </a:pPr>
          <a:r>
            <a:rPr lang="en-US" sz="1100" b="0" i="0" u="none" strike="noStrike" baseline="0">
              <a:solidFill>
                <a:srgbClr val="000000"/>
              </a:solidFill>
              <a:latin typeface="Aptos Narrow"/>
            </a:rPr>
            <a:t>Male: 49% of event attendees are male.</a:t>
          </a:r>
        </a:p>
        <a:p>
          <a:pPr algn="l" rtl="0">
            <a:defRPr sz="1000"/>
          </a:pPr>
          <a:endParaRPr lang="en-US" sz="1100" b="0" i="0" u="none" strike="noStrike" baseline="0">
            <a:solidFill>
              <a:srgbClr val="000000"/>
            </a:solidFill>
            <a:latin typeface="Aptos Narrow"/>
          </a:endParaRPr>
        </a:p>
        <a:p>
          <a:pPr algn="l" rtl="0">
            <a:defRPr sz="1000"/>
          </a:pPr>
          <a:r>
            <a:rPr lang="en-US" sz="1100" b="0" i="0" u="none" strike="noStrike" baseline="0">
              <a:solidFill>
                <a:srgbClr val="000000"/>
              </a:solidFill>
              <a:latin typeface="Aptos Narrow"/>
            </a:rPr>
            <a:t>Near Equal Representation:</a:t>
          </a:r>
        </a:p>
        <a:p>
          <a:pPr algn="l" rtl="0">
            <a:defRPr sz="1000"/>
          </a:pPr>
          <a:r>
            <a:rPr lang="en-US" sz="1100" b="0" i="0" u="none" strike="noStrike" baseline="0">
              <a:solidFill>
                <a:srgbClr val="000000"/>
              </a:solidFill>
              <a:latin typeface="Aptos Narrow"/>
            </a:rPr>
            <a:t>The attendance is almost evenly split between males and females, with females making up just slightly more than half of the total attendance.</a:t>
          </a:r>
        </a:p>
        <a:p>
          <a:pPr algn="l" rtl="0">
            <a:defRPr sz="1000"/>
          </a:pPr>
          <a:endParaRPr lang="en-US" sz="1100" b="0" i="0" u="none" strike="noStrike" baseline="0">
            <a:solidFill>
              <a:srgbClr val="000000"/>
            </a:solidFill>
            <a:latin typeface="Aptos Narrow"/>
          </a:endParaRPr>
        </a:p>
        <a:p>
          <a:pPr algn="l" rtl="0">
            <a:defRPr sz="1000"/>
          </a:pPr>
          <a:r>
            <a:rPr lang="en-US" sz="1100" b="0" i="0" u="none" strike="noStrike" baseline="0">
              <a:solidFill>
                <a:srgbClr val="000000"/>
              </a:solidFill>
              <a:latin typeface="Aptos Narrow"/>
            </a:rPr>
            <a:t>Event Attendance Trends:</a:t>
          </a:r>
        </a:p>
        <a:p>
          <a:pPr algn="l" rtl="0">
            <a:defRPr sz="1000"/>
          </a:pPr>
          <a:r>
            <a:rPr lang="en-US" sz="1100" b="0" i="0" u="none" strike="noStrike" baseline="0">
              <a:solidFill>
                <a:srgbClr val="000000"/>
              </a:solidFill>
              <a:latin typeface="Aptos Narrow"/>
            </a:rPr>
            <a:t>This suggests that gender distribution in this specific event or group is quite balanced, with no significant gender dominance.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51192</xdr:colOff>
      <xdr:row>6</xdr:row>
      <xdr:rowOff>87077</xdr:rowOff>
    </xdr:from>
    <xdr:to>
      <xdr:col>13</xdr:col>
      <xdr:colOff>12272</xdr:colOff>
      <xdr:row>21</xdr:row>
      <xdr:rowOff>65404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263887A-EFA0-44CB-AE58-512586D644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18342" y="1411052"/>
              <a:ext cx="5447480" cy="283582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295004</xdr:colOff>
      <xdr:row>7</xdr:row>
      <xdr:rowOff>155712</xdr:rowOff>
    </xdr:from>
    <xdr:to>
      <xdr:col>28</xdr:col>
      <xdr:colOff>7276</xdr:colOff>
      <xdr:row>22</xdr:row>
      <xdr:rowOff>107173</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94F74E9C-BF7B-4C7E-A961-1B011608DC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677754" y="1670187"/>
              <a:ext cx="5808272" cy="280896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31</xdr:col>
      <xdr:colOff>483420</xdr:colOff>
      <xdr:row>8</xdr:row>
      <xdr:rowOff>16388</xdr:rowOff>
    </xdr:from>
    <xdr:to>
      <xdr:col>42</xdr:col>
      <xdr:colOff>368711</xdr:colOff>
      <xdr:row>24</xdr:row>
      <xdr:rowOff>22943</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923D758B-7371-426D-A065-1F9513F5C5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5505595" y="1721363"/>
              <a:ext cx="6933791" cy="305455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46</xdr:col>
      <xdr:colOff>491612</xdr:colOff>
      <xdr:row>8</xdr:row>
      <xdr:rowOff>106517</xdr:rowOff>
    </xdr:from>
    <xdr:to>
      <xdr:col>56</xdr:col>
      <xdr:colOff>221226</xdr:colOff>
      <xdr:row>24</xdr:row>
      <xdr:rowOff>145846</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BB25C44A-3F5B-494F-968D-736F47098D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8010587" y="1811492"/>
              <a:ext cx="5825614" cy="30873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7878</xdr:colOff>
      <xdr:row>23</xdr:row>
      <xdr:rowOff>4309</xdr:rowOff>
    </xdr:from>
    <xdr:to>
      <xdr:col>11</xdr:col>
      <xdr:colOff>405259</xdr:colOff>
      <xdr:row>30</xdr:row>
      <xdr:rowOff>138891</xdr:rowOff>
    </xdr:to>
    <xdr:sp macro="" textlink="">
      <xdr:nvSpPr>
        <xdr:cNvPr id="2" name="Rectangle 1">
          <a:extLst>
            <a:ext uri="{FF2B5EF4-FFF2-40B4-BE49-F238E27FC236}">
              <a16:creationId xmlns:a16="http://schemas.microsoft.com/office/drawing/2014/main" id="{D7210D6C-399B-0478-80AC-A77C39F140BA}"/>
            </a:ext>
          </a:extLst>
        </xdr:cNvPr>
        <xdr:cNvSpPr/>
      </xdr:nvSpPr>
      <xdr:spPr>
        <a:xfrm>
          <a:off x="4495211" y="4533976"/>
          <a:ext cx="4080381" cy="1468082"/>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US" sz="1200">
              <a:solidFill>
                <a:schemeClr val="tx1"/>
              </a:solidFill>
              <a:latin typeface="Times New Roman" panose="02020603050405020304" pitchFamily="18" charset="0"/>
              <a:cs typeface="Times New Roman" panose="02020603050405020304" pitchFamily="18" charset="0"/>
            </a:rPr>
            <a:t>Both males and females have nearly the same median value (around 1600–1700), indicating that their central spending tendencies are quite alike.Comparable Variation:</a:t>
          </a:r>
        </a:p>
        <a:p>
          <a:pPr lvl="0" algn="l"/>
          <a:endParaRPr lang="en-US" sz="1200">
            <a:solidFill>
              <a:schemeClr val="tx1"/>
            </a:solidFill>
            <a:latin typeface="Times New Roman" panose="02020603050405020304" pitchFamily="18" charset="0"/>
            <a:cs typeface="Times New Roman" panose="02020603050405020304" pitchFamily="18" charset="0"/>
          </a:endParaRPr>
        </a:p>
        <a:p>
          <a:pPr lvl="0" algn="l"/>
          <a:r>
            <a:rPr lang="en-US" sz="1200">
              <a:solidFill>
                <a:schemeClr val="tx1"/>
              </a:solidFill>
              <a:latin typeface="Times New Roman" panose="02020603050405020304" pitchFamily="18" charset="0"/>
              <a:cs typeface="Times New Roman" panose="02020603050405020304" pitchFamily="18" charset="0"/>
            </a:rPr>
            <a:t>The interquartile ranges (the height of the boxes) for both groups are similar, suggesting that the middle 50% of spending values are spread out to a similar extent.</a:t>
          </a:r>
        </a:p>
      </xdr:txBody>
    </xdr:sp>
    <xdr:clientData/>
  </xdr:twoCellAnchor>
  <xdr:twoCellAnchor>
    <xdr:from>
      <xdr:col>19</xdr:col>
      <xdr:colOff>203171</xdr:colOff>
      <xdr:row>24</xdr:row>
      <xdr:rowOff>28935</xdr:rowOff>
    </xdr:from>
    <xdr:to>
      <xdr:col>27</xdr:col>
      <xdr:colOff>203170</xdr:colOff>
      <xdr:row>31</xdr:row>
      <xdr:rowOff>11616</xdr:rowOff>
    </xdr:to>
    <xdr:sp macro="" textlink="">
      <xdr:nvSpPr>
        <xdr:cNvPr id="3" name="Rectangle 2">
          <a:extLst>
            <a:ext uri="{FF2B5EF4-FFF2-40B4-BE49-F238E27FC236}">
              <a16:creationId xmlns:a16="http://schemas.microsoft.com/office/drawing/2014/main" id="{D86891A9-ACFC-3DC8-01C3-7CE7E5C8443B}"/>
            </a:ext>
          </a:extLst>
        </xdr:cNvPr>
        <xdr:cNvSpPr/>
      </xdr:nvSpPr>
      <xdr:spPr>
        <a:xfrm>
          <a:off x="15094695" y="4640429"/>
          <a:ext cx="4832195" cy="1283657"/>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1"/>
              </a:solidFill>
              <a:latin typeface="Times New Roman" panose="02020603050405020304" pitchFamily="18" charset="0"/>
              <a:cs typeface="Times New Roman" panose="02020603050405020304" pitchFamily="18" charset="0"/>
            </a:rPr>
            <a:t>The data values range roughly between 5 and 30, indicating the overall spread of the dataset.</a:t>
          </a:r>
        </a:p>
        <a:p>
          <a:pPr algn="l"/>
          <a:r>
            <a:rPr lang="en-US" sz="1200">
              <a:solidFill>
                <a:schemeClr val="tx1"/>
              </a:solidFill>
              <a:latin typeface="Times New Roman" panose="02020603050405020304" pitchFamily="18" charset="0"/>
              <a:cs typeface="Times New Roman" panose="02020603050405020304" pitchFamily="18" charset="0"/>
            </a:rPr>
            <a:t>The median value is around 20, showing that half of the data lies below and half above this point.</a:t>
          </a:r>
        </a:p>
        <a:p>
          <a:pPr algn="l"/>
          <a:r>
            <a:rPr lang="en-US" sz="1200">
              <a:solidFill>
                <a:schemeClr val="tx1"/>
              </a:solidFill>
              <a:latin typeface="Times New Roman" panose="02020603050405020304" pitchFamily="18" charset="0"/>
              <a:cs typeface="Times New Roman" panose="02020603050405020304" pitchFamily="18" charset="0"/>
            </a:rPr>
            <a:t>There are no visible outliers, meaning all data points fall within a normal and expected range.</a:t>
          </a:r>
        </a:p>
      </xdr:txBody>
    </xdr:sp>
    <xdr:clientData/>
  </xdr:twoCellAnchor>
  <xdr:twoCellAnchor>
    <xdr:from>
      <xdr:col>32</xdr:col>
      <xdr:colOff>494055</xdr:colOff>
      <xdr:row>26</xdr:row>
      <xdr:rowOff>23090</xdr:rowOff>
    </xdr:from>
    <xdr:to>
      <xdr:col>42</xdr:col>
      <xdr:colOff>26464</xdr:colOff>
      <xdr:row>33</xdr:row>
      <xdr:rowOff>127773</xdr:rowOff>
    </xdr:to>
    <xdr:sp macro="" textlink="">
      <xdr:nvSpPr>
        <xdr:cNvPr id="7" name="Rectangle 6">
          <a:extLst>
            <a:ext uri="{FF2B5EF4-FFF2-40B4-BE49-F238E27FC236}">
              <a16:creationId xmlns:a16="http://schemas.microsoft.com/office/drawing/2014/main" id="{8A9361E8-AFB0-A72D-AFA8-3B53FD4E9089}"/>
            </a:ext>
          </a:extLst>
        </xdr:cNvPr>
        <xdr:cNvSpPr/>
      </xdr:nvSpPr>
      <xdr:spPr>
        <a:xfrm>
          <a:off x="25189360" y="5006291"/>
          <a:ext cx="5572653" cy="1405659"/>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This</a:t>
          </a:r>
          <a:r>
            <a:rPr lang="en-US" sz="1100" baseline="0">
              <a:solidFill>
                <a:schemeClr val="tx1"/>
              </a:solidFill>
            </a:rPr>
            <a:t> data shows the monthly entartainment spent by the age group.</a:t>
          </a:r>
        </a:p>
        <a:p>
          <a:pPr algn="l"/>
          <a:r>
            <a:rPr lang="en-US" sz="1100" baseline="0">
              <a:solidFill>
                <a:schemeClr val="tx1"/>
              </a:solidFill>
            </a:rPr>
            <a:t>while comparing this graph the specified category of age 10-20 is spending more in monthly entartainment.</a:t>
          </a:r>
        </a:p>
        <a:p>
          <a:pPr algn="l"/>
          <a:r>
            <a:rPr lang="en-US" sz="1100" baseline="0">
              <a:solidFill>
                <a:schemeClr val="tx1"/>
              </a:solidFill>
            </a:rPr>
            <a:t>In age group of 21-30 the monthly entartainment is less.</a:t>
          </a:r>
        </a:p>
        <a:p>
          <a:pPr algn="l"/>
          <a:r>
            <a:rPr lang="en-US" sz="1100">
              <a:solidFill>
                <a:schemeClr val="tx1"/>
              </a:solidFill>
            </a:rPr>
            <a:t>By</a:t>
          </a:r>
          <a:r>
            <a:rPr lang="en-US" sz="1100" baseline="0">
              <a:solidFill>
                <a:schemeClr val="tx1"/>
              </a:solidFill>
            </a:rPr>
            <a:t>  comparing the overall data the youngsters is spending  more in entartainment.</a:t>
          </a:r>
          <a:endParaRPr lang="en-US" sz="1100">
            <a:solidFill>
              <a:schemeClr val="tx1"/>
            </a:solidFill>
          </a:endParaRPr>
        </a:p>
      </xdr:txBody>
    </xdr:sp>
    <xdr:clientData/>
  </xdr:twoCellAnchor>
  <xdr:twoCellAnchor>
    <xdr:from>
      <xdr:col>48</xdr:col>
      <xdr:colOff>0</xdr:colOff>
      <xdr:row>27</xdr:row>
      <xdr:rowOff>0</xdr:rowOff>
    </xdr:from>
    <xdr:to>
      <xdr:col>56</xdr:col>
      <xdr:colOff>11339</xdr:colOff>
      <xdr:row>36</xdr:row>
      <xdr:rowOff>155864</xdr:rowOff>
    </xdr:to>
    <xdr:sp macro="" textlink="">
      <xdr:nvSpPr>
        <xdr:cNvPr id="9" name="Rectangle 8">
          <a:extLst>
            <a:ext uri="{FF2B5EF4-FFF2-40B4-BE49-F238E27FC236}">
              <a16:creationId xmlns:a16="http://schemas.microsoft.com/office/drawing/2014/main" id="{A5230C1F-6C76-F9A8-100D-220DE46E57EF}"/>
            </a:ext>
          </a:extLst>
        </xdr:cNvPr>
        <xdr:cNvSpPr/>
      </xdr:nvSpPr>
      <xdr:spPr>
        <a:xfrm>
          <a:off x="36172321" y="5340804"/>
          <a:ext cx="4909911" cy="1890774"/>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In</a:t>
          </a:r>
          <a:r>
            <a:rPr lang="en-US" sz="1100" baseline="0">
              <a:solidFill>
                <a:schemeClr val="tx1"/>
              </a:solidFill>
            </a:rPr>
            <a:t> the comparison of chart age group of 10-20 youngsters in spending more hours</a:t>
          </a:r>
        </a:p>
        <a:p>
          <a:pPr algn="l"/>
          <a:r>
            <a:rPr lang="en-US" sz="1100" baseline="0">
              <a:solidFill>
                <a:schemeClr val="tx1"/>
              </a:solidFill>
            </a:rPr>
            <a:t>in spending entartainment.</a:t>
          </a:r>
        </a:p>
        <a:p>
          <a:pPr algn="l"/>
          <a:endParaRPr lang="en-US" sz="1100">
            <a:solidFill>
              <a:schemeClr val="tx1"/>
            </a:solidFill>
          </a:endParaRPr>
        </a:p>
        <a:p>
          <a:pPr algn="l"/>
          <a:r>
            <a:rPr lang="en-US" sz="1100">
              <a:solidFill>
                <a:schemeClr val="tx1"/>
              </a:solidFill>
            </a:rPr>
            <a:t>Younger individuals (10–30) tend to spend more on entertainment.</a:t>
          </a:r>
        </a:p>
        <a:p>
          <a:pPr algn="l"/>
          <a:endParaRPr lang="en-US" sz="1100">
            <a:solidFill>
              <a:schemeClr val="tx1"/>
            </a:solidFill>
          </a:endParaRPr>
        </a:p>
        <a:p>
          <a:pPr algn="l"/>
          <a:r>
            <a:rPr lang="en-US" sz="1100">
              <a:solidFill>
                <a:schemeClr val="tx1"/>
              </a:solidFill>
            </a:rPr>
            <a:t>Older age groups (31–50) show reduced and more consistent spending.</a:t>
          </a:r>
        </a:p>
        <a:p>
          <a:pPr algn="l"/>
          <a:r>
            <a:rPr lang="en-US" sz="1100">
              <a:solidFill>
                <a:schemeClr val="tx1"/>
              </a:solidFill>
            </a:rPr>
            <a:t>The interquartile ranges (boxes) suggest spending variation decreases with age.</a:t>
          </a:r>
        </a:p>
        <a:p>
          <a:pPr algn="l"/>
          <a:endParaRPr lang="en-US" sz="1100">
            <a:solidFill>
              <a:schemeClr val="tx1"/>
            </a:solidFill>
          </a:endParaRPr>
        </a:p>
        <a:p>
          <a:pPr algn="l"/>
          <a:r>
            <a:rPr lang="en-US" sz="1100">
              <a:solidFill>
                <a:schemeClr val="tx1"/>
              </a:solidFill>
            </a:rPr>
            <a:t>I</a:t>
          </a:r>
          <a:r>
            <a:rPr lang="en-US" sz="1100" baseline="0">
              <a:solidFill>
                <a:schemeClr val="tx1"/>
              </a:solidFill>
            </a:rPr>
            <a:t>n Comparing all the data there is only slight difference between all that</a:t>
          </a:r>
          <a:endParaRPr lang="en-US" sz="11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110</xdr:col>
      <xdr:colOff>62836</xdr:colOff>
      <xdr:row>349</xdr:row>
      <xdr:rowOff>52365</xdr:rowOff>
    </xdr:to>
    <xdr:sp macro="" textlink="">
      <xdr:nvSpPr>
        <xdr:cNvPr id="2" name="Rectangle 1">
          <a:extLst>
            <a:ext uri="{FF2B5EF4-FFF2-40B4-BE49-F238E27FC236}">
              <a16:creationId xmlns:a16="http://schemas.microsoft.com/office/drawing/2014/main" id="{9BA83244-AB78-4E41-B30D-340F56640C22}"/>
            </a:ext>
          </a:extLst>
        </xdr:cNvPr>
        <xdr:cNvSpPr/>
      </xdr:nvSpPr>
      <xdr:spPr>
        <a:xfrm>
          <a:off x="0" y="0"/>
          <a:ext cx="65118586" cy="66536865"/>
        </a:xfrm>
        <a:prstGeom prst="rect">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400" b="1">
            <a:solidFill>
              <a:schemeClr val="bg1"/>
            </a:solidFill>
          </a:endParaRPr>
        </a:p>
      </xdr:txBody>
    </xdr:sp>
    <xdr:clientData/>
  </xdr:twoCellAnchor>
  <xdr:twoCellAnchor>
    <xdr:from>
      <xdr:col>3</xdr:col>
      <xdr:colOff>288441</xdr:colOff>
      <xdr:row>29</xdr:row>
      <xdr:rowOff>1</xdr:rowOff>
    </xdr:from>
    <xdr:to>
      <xdr:col>19</xdr:col>
      <xdr:colOff>90714</xdr:colOff>
      <xdr:row>57</xdr:row>
      <xdr:rowOff>45357</xdr:rowOff>
    </xdr:to>
    <xdr:graphicFrame macro="">
      <xdr:nvGraphicFramePr>
        <xdr:cNvPr id="18" name="Chart 17">
          <a:extLst>
            <a:ext uri="{FF2B5EF4-FFF2-40B4-BE49-F238E27FC236}">
              <a16:creationId xmlns:a16="http://schemas.microsoft.com/office/drawing/2014/main" id="{328FD6BD-F2EA-48B0-8946-78D58856D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419397</xdr:colOff>
      <xdr:row>6</xdr:row>
      <xdr:rowOff>43295</xdr:rowOff>
    </xdr:from>
    <xdr:to>
      <xdr:col>8</xdr:col>
      <xdr:colOff>259773</xdr:colOff>
      <xdr:row>26</xdr:row>
      <xdr:rowOff>122102</xdr:rowOff>
    </xdr:to>
    <mc:AlternateContent xmlns:mc="http://schemas.openxmlformats.org/markup-compatibility/2006" xmlns:a14="http://schemas.microsoft.com/office/drawing/2010/main">
      <mc:Choice Requires="a14">
        <xdr:graphicFrame macro="">
          <xdr:nvGraphicFramePr>
            <xdr:cNvPr id="19" name="Age">
              <a:extLst>
                <a:ext uri="{FF2B5EF4-FFF2-40B4-BE49-F238E27FC236}">
                  <a16:creationId xmlns:a16="http://schemas.microsoft.com/office/drawing/2014/main" id="{2A9D4FA5-B5CF-3264-433D-B12FB4F71E98}"/>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2287762" y="1142333"/>
              <a:ext cx="2954319" cy="37422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246807</xdr:colOff>
      <xdr:row>16</xdr:row>
      <xdr:rowOff>86591</xdr:rowOff>
    </xdr:from>
    <xdr:to>
      <xdr:col>18</xdr:col>
      <xdr:colOff>432954</xdr:colOff>
      <xdr:row>25</xdr:row>
      <xdr:rowOff>45923</xdr:rowOff>
    </xdr:to>
    <xdr:sp macro="" textlink="">
      <xdr:nvSpPr>
        <xdr:cNvPr id="20" name="Rectangle 19">
          <a:extLst>
            <a:ext uri="{FF2B5EF4-FFF2-40B4-BE49-F238E27FC236}">
              <a16:creationId xmlns:a16="http://schemas.microsoft.com/office/drawing/2014/main" id="{433AF2F8-D34A-9272-4780-584F04DB72D0}"/>
            </a:ext>
          </a:extLst>
        </xdr:cNvPr>
        <xdr:cNvSpPr/>
      </xdr:nvSpPr>
      <xdr:spPr>
        <a:xfrm>
          <a:off x="5702034" y="2857500"/>
          <a:ext cx="5641375" cy="1517968"/>
        </a:xfrm>
        <a:prstGeom prst="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tx1"/>
              </a:solidFill>
            </a:rPr>
            <a:t>Here the entertainment behavior</a:t>
          </a:r>
          <a:r>
            <a:rPr lang="en-US" sz="2400" b="1" baseline="0">
              <a:solidFill>
                <a:schemeClr val="tx1"/>
              </a:solidFill>
            </a:rPr>
            <a:t> by the the age group is represented by the bar chart.now use this age slicer to filter the values by the age groups u need.</a:t>
          </a:r>
          <a:endParaRPr lang="en-US" sz="2400" b="1">
            <a:solidFill>
              <a:schemeClr val="tx1"/>
            </a:solidFill>
          </a:endParaRPr>
        </a:p>
      </xdr:txBody>
    </xdr:sp>
    <xdr:clientData/>
  </xdr:twoCellAnchor>
  <xdr:twoCellAnchor>
    <xdr:from>
      <xdr:col>21</xdr:col>
      <xdr:colOff>143180</xdr:colOff>
      <xdr:row>30</xdr:row>
      <xdr:rowOff>59605</xdr:rowOff>
    </xdr:from>
    <xdr:to>
      <xdr:col>38</xdr:col>
      <xdr:colOff>480321</xdr:colOff>
      <xdr:row>57</xdr:row>
      <xdr:rowOff>31590</xdr:rowOff>
    </xdr:to>
    <xdr:graphicFrame macro="">
      <xdr:nvGraphicFramePr>
        <xdr:cNvPr id="21" name="Chart 20">
          <a:extLst>
            <a:ext uri="{FF2B5EF4-FFF2-40B4-BE49-F238E27FC236}">
              <a16:creationId xmlns:a16="http://schemas.microsoft.com/office/drawing/2014/main" id="{C7C7B9CE-B29E-4147-AE2C-547C2C5A6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553066</xdr:colOff>
      <xdr:row>81</xdr:row>
      <xdr:rowOff>22308</xdr:rowOff>
    </xdr:from>
    <xdr:to>
      <xdr:col>18</xdr:col>
      <xdr:colOff>515123</xdr:colOff>
      <xdr:row>125</xdr:row>
      <xdr:rowOff>153628</xdr:rowOff>
    </xdr:to>
    <xdr:graphicFrame macro="">
      <xdr:nvGraphicFramePr>
        <xdr:cNvPr id="23" name="Chart 22">
          <a:extLst>
            <a:ext uri="{FF2B5EF4-FFF2-40B4-BE49-F238E27FC236}">
              <a16:creationId xmlns:a16="http://schemas.microsoft.com/office/drawing/2014/main" id="{9C05046E-4D28-4506-B381-2665FC697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330701</xdr:colOff>
      <xdr:row>68</xdr:row>
      <xdr:rowOff>0</xdr:rowOff>
    </xdr:from>
    <xdr:to>
      <xdr:col>41</xdr:col>
      <xdr:colOff>340178</xdr:colOff>
      <xdr:row>117</xdr:row>
      <xdr:rowOff>187569</xdr:rowOff>
    </xdr:to>
    <xdr:graphicFrame macro="">
      <xdr:nvGraphicFramePr>
        <xdr:cNvPr id="25" name="Chart 24">
          <a:extLst>
            <a:ext uri="{FF2B5EF4-FFF2-40B4-BE49-F238E27FC236}">
              <a16:creationId xmlns:a16="http://schemas.microsoft.com/office/drawing/2014/main" id="{3474EFE6-A6B3-454B-BD63-1F9430FCF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45</xdr:col>
      <xdr:colOff>342414</xdr:colOff>
      <xdr:row>46</xdr:row>
      <xdr:rowOff>172182</xdr:rowOff>
    </xdr:from>
    <xdr:to>
      <xdr:col>68</xdr:col>
      <xdr:colOff>439616</xdr:colOff>
      <xdr:row>103</xdr:row>
      <xdr:rowOff>109903</xdr:rowOff>
    </xdr:to>
    <xdr:graphicFrame macro="">
      <xdr:nvGraphicFramePr>
        <xdr:cNvPr id="26" name="Chart 25">
          <a:extLst>
            <a:ext uri="{FF2B5EF4-FFF2-40B4-BE49-F238E27FC236}">
              <a16:creationId xmlns:a16="http://schemas.microsoft.com/office/drawing/2014/main" id="{EA3A0E69-91B0-47C0-93C5-0E4B4EFAB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366346</xdr:colOff>
      <xdr:row>141</xdr:row>
      <xdr:rowOff>73270</xdr:rowOff>
    </xdr:from>
    <xdr:to>
      <xdr:col>41</xdr:col>
      <xdr:colOff>178593</xdr:colOff>
      <xdr:row>186</xdr:row>
      <xdr:rowOff>119062</xdr:rowOff>
    </xdr:to>
    <xdr:graphicFrame macro="">
      <xdr:nvGraphicFramePr>
        <xdr:cNvPr id="29" name="Chart 28">
          <a:extLst>
            <a:ext uri="{FF2B5EF4-FFF2-40B4-BE49-F238E27FC236}">
              <a16:creationId xmlns:a16="http://schemas.microsoft.com/office/drawing/2014/main" id="{ABAC9316-5BB3-408F-BDD9-1F046855A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402981</xdr:colOff>
      <xdr:row>131</xdr:row>
      <xdr:rowOff>163284</xdr:rowOff>
    </xdr:from>
    <xdr:to>
      <xdr:col>18</xdr:col>
      <xdr:colOff>408214</xdr:colOff>
      <xdr:row>171</xdr:row>
      <xdr:rowOff>73268</xdr:rowOff>
    </xdr:to>
    <xdr:graphicFrame macro="">
      <xdr:nvGraphicFramePr>
        <xdr:cNvPr id="30" name="Chart 29">
          <a:extLst>
            <a:ext uri="{FF2B5EF4-FFF2-40B4-BE49-F238E27FC236}">
              <a16:creationId xmlns:a16="http://schemas.microsoft.com/office/drawing/2014/main" id="{BD13BCAE-EC8F-4411-9716-5274481C7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535780</xdr:colOff>
      <xdr:row>118</xdr:row>
      <xdr:rowOff>0</xdr:rowOff>
    </xdr:from>
    <xdr:to>
      <xdr:col>69</xdr:col>
      <xdr:colOff>805962</xdr:colOff>
      <xdr:row>182</xdr:row>
      <xdr:rowOff>-1</xdr:rowOff>
    </xdr:to>
    <xdr:graphicFrame macro="">
      <xdr:nvGraphicFramePr>
        <xdr:cNvPr id="32" name="Chart 31">
          <a:extLst>
            <a:ext uri="{FF2B5EF4-FFF2-40B4-BE49-F238E27FC236}">
              <a16:creationId xmlns:a16="http://schemas.microsoft.com/office/drawing/2014/main" id="{FC226486-C690-4C09-8425-758031334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204266</xdr:colOff>
      <xdr:row>204</xdr:row>
      <xdr:rowOff>5549</xdr:rowOff>
    </xdr:from>
    <xdr:to>
      <xdr:col>29</xdr:col>
      <xdr:colOff>546319</xdr:colOff>
      <xdr:row>252</xdr:row>
      <xdr:rowOff>2887</xdr:rowOff>
    </xdr:to>
    <xdr:graphicFrame macro="">
      <xdr:nvGraphicFramePr>
        <xdr:cNvPr id="33" name="Chart 32">
          <a:extLst>
            <a:ext uri="{FF2B5EF4-FFF2-40B4-BE49-F238E27FC236}">
              <a16:creationId xmlns:a16="http://schemas.microsoft.com/office/drawing/2014/main" id="{2E0C11AA-4858-4A08-B634-0A031F2AE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32</xdr:col>
      <xdr:colOff>595150</xdr:colOff>
      <xdr:row>196</xdr:row>
      <xdr:rowOff>21625</xdr:rowOff>
    </xdr:from>
    <xdr:to>
      <xdr:col>63</xdr:col>
      <xdr:colOff>168089</xdr:colOff>
      <xdr:row>252</xdr:row>
      <xdr:rowOff>56030</xdr:rowOff>
    </xdr:to>
    <xdr:graphicFrame macro="">
      <xdr:nvGraphicFramePr>
        <xdr:cNvPr id="34" name="Chart 33">
          <a:extLst>
            <a:ext uri="{FF2B5EF4-FFF2-40B4-BE49-F238E27FC236}">
              <a16:creationId xmlns:a16="http://schemas.microsoft.com/office/drawing/2014/main" id="{E33B5CC2-9B0E-421A-8E11-AFD885E3A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69</xdr:col>
      <xdr:colOff>2385664</xdr:colOff>
      <xdr:row>31</xdr:row>
      <xdr:rowOff>95250</xdr:rowOff>
    </xdr:from>
    <xdr:to>
      <xdr:col>103</xdr:col>
      <xdr:colOff>381000</xdr:colOff>
      <xdr:row>84</xdr:row>
      <xdr:rowOff>98651</xdr:rowOff>
    </xdr:to>
    <xdr:graphicFrame macro="">
      <xdr:nvGraphicFramePr>
        <xdr:cNvPr id="35" name="Chart 34">
          <a:extLst>
            <a:ext uri="{FF2B5EF4-FFF2-40B4-BE49-F238E27FC236}">
              <a16:creationId xmlns:a16="http://schemas.microsoft.com/office/drawing/2014/main" id="{FE8EBB44-25AF-4A7F-A8B4-A6EDE6807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69</xdr:col>
      <xdr:colOff>2399233</xdr:colOff>
      <xdr:row>12</xdr:row>
      <xdr:rowOff>130810</xdr:rowOff>
    </xdr:from>
    <xdr:to>
      <xdr:col>82</xdr:col>
      <xdr:colOff>95250</xdr:colOff>
      <xdr:row>26</xdr:row>
      <xdr:rowOff>108329</xdr:rowOff>
    </xdr:to>
    <mc:AlternateContent xmlns:mc="http://schemas.openxmlformats.org/markup-compatibility/2006" xmlns:a14="http://schemas.microsoft.com/office/drawing/2010/main">
      <mc:Choice Requires="a14">
        <xdr:graphicFrame macro="">
          <xdr:nvGraphicFramePr>
            <xdr:cNvPr id="36" name="Preferred_Platform">
              <a:extLst>
                <a:ext uri="{FF2B5EF4-FFF2-40B4-BE49-F238E27FC236}">
                  <a16:creationId xmlns:a16="http://schemas.microsoft.com/office/drawing/2014/main" id="{6D080D17-9D16-3035-70C3-FCD4FFA46BF7}"/>
                </a:ext>
              </a:extLst>
            </xdr:cNvPr>
            <xdr:cNvGraphicFramePr/>
          </xdr:nvGraphicFramePr>
          <xdr:xfrm>
            <a:off x="0" y="0"/>
            <a:ext cx="0" cy="0"/>
          </xdr:xfrm>
          <a:graphic>
            <a:graphicData uri="http://schemas.microsoft.com/office/drawing/2010/slicer">
              <sle:slicer xmlns:sle="http://schemas.microsoft.com/office/drawing/2010/slicer" name="Preferred_Platform"/>
            </a:graphicData>
          </a:graphic>
        </xdr:graphicFrame>
      </mc:Choice>
      <mc:Fallback xmlns="">
        <xdr:sp macro="" textlink="">
          <xdr:nvSpPr>
            <xdr:cNvPr id="0" name=""/>
            <xdr:cNvSpPr>
              <a:spLocks noTextEdit="1"/>
            </xdr:cNvSpPr>
          </xdr:nvSpPr>
          <xdr:spPr>
            <a:xfrm>
              <a:off x="45371637" y="2328887"/>
              <a:ext cx="7953709" cy="25419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69</xdr:col>
      <xdr:colOff>1993184</xdr:colOff>
      <xdr:row>101</xdr:row>
      <xdr:rowOff>23814</xdr:rowOff>
    </xdr:from>
    <xdr:to>
      <xdr:col>103</xdr:col>
      <xdr:colOff>381000</xdr:colOff>
      <xdr:row>159</xdr:row>
      <xdr:rowOff>0</xdr:rowOff>
    </xdr:to>
    <mc:AlternateContent xmlns:mc="http://schemas.openxmlformats.org/markup-compatibility/2006">
      <mc:Choice xmlns:cx1="http://schemas.microsoft.com/office/drawing/2015/9/8/chartex" Requires="cx1">
        <xdr:graphicFrame macro="">
          <xdr:nvGraphicFramePr>
            <xdr:cNvPr id="37" name="Chart 36">
              <a:extLst>
                <a:ext uri="{FF2B5EF4-FFF2-40B4-BE49-F238E27FC236}">
                  <a16:creationId xmlns:a16="http://schemas.microsoft.com/office/drawing/2014/main" id="{5FEA1408-B748-4B97-8C98-D2B0B0F091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4055584" y="19264314"/>
              <a:ext cx="21276391" cy="1102518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69</xdr:col>
      <xdr:colOff>2236866</xdr:colOff>
      <xdr:row>172</xdr:row>
      <xdr:rowOff>146538</xdr:rowOff>
    </xdr:from>
    <xdr:to>
      <xdr:col>104</xdr:col>
      <xdr:colOff>-1</xdr:colOff>
      <xdr:row>237</xdr:row>
      <xdr:rowOff>73269</xdr:rowOff>
    </xdr:to>
    <mc:AlternateContent xmlns:mc="http://schemas.openxmlformats.org/markup-compatibility/2006">
      <mc:Choice xmlns:cx1="http://schemas.microsoft.com/office/drawing/2015/9/8/chartex" Requires="cx1">
        <xdr:graphicFrame macro="">
          <xdr:nvGraphicFramePr>
            <xdr:cNvPr id="38" name="Chart 37">
              <a:extLst>
                <a:ext uri="{FF2B5EF4-FFF2-40B4-BE49-F238E27FC236}">
                  <a16:creationId xmlns:a16="http://schemas.microsoft.com/office/drawing/2014/main" id="{FA0F8AF0-7041-4D55-88DA-463150B09F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44299266" y="32912538"/>
              <a:ext cx="21261308" cy="1230923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538495</xdr:colOff>
      <xdr:row>262</xdr:row>
      <xdr:rowOff>92983</xdr:rowOff>
    </xdr:from>
    <xdr:to>
      <xdr:col>38</xdr:col>
      <xdr:colOff>464910</xdr:colOff>
      <xdr:row>324</xdr:row>
      <xdr:rowOff>47625</xdr:rowOff>
    </xdr:to>
    <mc:AlternateContent xmlns:mc="http://schemas.openxmlformats.org/markup-compatibility/2006">
      <mc:Choice xmlns:cx1="http://schemas.microsoft.com/office/drawing/2015/9/8/chartex" Requires="cx1">
        <xdr:graphicFrame macro="">
          <xdr:nvGraphicFramePr>
            <xdr:cNvPr id="39" name="Chart 38">
              <a:extLst>
                <a:ext uri="{FF2B5EF4-FFF2-40B4-BE49-F238E27FC236}">
                  <a16:creationId xmlns:a16="http://schemas.microsoft.com/office/drawing/2014/main" id="{29476F3B-CC9F-44CE-8420-919880D8EA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757695" y="50003983"/>
              <a:ext cx="21872015" cy="1176564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47</xdr:col>
      <xdr:colOff>365124</xdr:colOff>
      <xdr:row>267</xdr:row>
      <xdr:rowOff>174625</xdr:rowOff>
    </xdr:from>
    <xdr:to>
      <xdr:col>92</xdr:col>
      <xdr:colOff>317499</xdr:colOff>
      <xdr:row>339</xdr:row>
      <xdr:rowOff>127000</xdr:rowOff>
    </xdr:to>
    <mc:AlternateContent xmlns:mc="http://schemas.openxmlformats.org/markup-compatibility/2006">
      <mc:Choice xmlns:cx1="http://schemas.microsoft.com/office/drawing/2015/9/8/chartex" Requires="cx1">
        <xdr:graphicFrame macro="">
          <xdr:nvGraphicFramePr>
            <xdr:cNvPr id="40" name="Chart 39">
              <a:extLst>
                <a:ext uri="{FF2B5EF4-FFF2-40B4-BE49-F238E27FC236}">
                  <a16:creationId xmlns:a16="http://schemas.microsoft.com/office/drawing/2014/main" id="{BA9B5BEB-AC2D-4793-B811-0DE6DEDFAB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29016324" y="51038125"/>
              <a:ext cx="29546550" cy="136683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22</xdr:col>
      <xdr:colOff>28574</xdr:colOff>
      <xdr:row>12</xdr:row>
      <xdr:rowOff>123824</xdr:rowOff>
    </xdr:from>
    <xdr:to>
      <xdr:col>26</xdr:col>
      <xdr:colOff>30725</xdr:colOff>
      <xdr:row>29</xdr:row>
      <xdr:rowOff>0</xdr:rowOff>
    </xdr:to>
    <mc:AlternateContent xmlns:mc="http://schemas.openxmlformats.org/markup-compatibility/2006" xmlns:a14="http://schemas.microsoft.com/office/drawing/2010/main">
      <mc:Choice Requires="a14">
        <xdr:graphicFrame macro="">
          <xdr:nvGraphicFramePr>
            <xdr:cNvPr id="41" name="Favorite_Movie_Genre">
              <a:extLst>
                <a:ext uri="{FF2B5EF4-FFF2-40B4-BE49-F238E27FC236}">
                  <a16:creationId xmlns:a16="http://schemas.microsoft.com/office/drawing/2014/main" id="{86F21E32-B4BA-3140-8C27-1FF103A010F5}"/>
                </a:ext>
              </a:extLst>
            </xdr:cNvPr>
            <xdr:cNvGraphicFramePr/>
          </xdr:nvGraphicFramePr>
          <xdr:xfrm>
            <a:off x="0" y="0"/>
            <a:ext cx="0" cy="0"/>
          </xdr:xfrm>
          <a:graphic>
            <a:graphicData uri="http://schemas.microsoft.com/office/drawing/2010/slicer">
              <sle:slicer xmlns:sle="http://schemas.microsoft.com/office/drawing/2010/slicer" name="Favorite_Movie_Genre"/>
            </a:graphicData>
          </a:graphic>
        </xdr:graphicFrame>
      </mc:Choice>
      <mc:Fallback xmlns="">
        <xdr:sp macro="" textlink="">
          <xdr:nvSpPr>
            <xdr:cNvPr id="0" name=""/>
            <xdr:cNvSpPr>
              <a:spLocks noTextEdit="1"/>
            </xdr:cNvSpPr>
          </xdr:nvSpPr>
          <xdr:spPr>
            <a:xfrm>
              <a:off x="13729920" y="2321901"/>
              <a:ext cx="2493305" cy="2990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100263</xdr:colOff>
      <xdr:row>17</xdr:row>
      <xdr:rowOff>33421</xdr:rowOff>
    </xdr:from>
    <xdr:to>
      <xdr:col>34</xdr:col>
      <xdr:colOff>300790</xdr:colOff>
      <xdr:row>28</xdr:row>
      <xdr:rowOff>116974</xdr:rowOff>
    </xdr:to>
    <xdr:sp macro="" textlink="">
      <xdr:nvSpPr>
        <xdr:cNvPr id="42" name="Rectangle 41">
          <a:extLst>
            <a:ext uri="{FF2B5EF4-FFF2-40B4-BE49-F238E27FC236}">
              <a16:creationId xmlns:a16="http://schemas.microsoft.com/office/drawing/2014/main" id="{2FE0D4BF-63DB-0651-9BA3-835A381232ED}"/>
            </a:ext>
          </a:extLst>
        </xdr:cNvPr>
        <xdr:cNvSpPr/>
      </xdr:nvSpPr>
      <xdr:spPr>
        <a:xfrm>
          <a:off x="16342895" y="3158289"/>
          <a:ext cx="4411579" cy="2105527"/>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t>This representation shows</a:t>
          </a:r>
          <a:r>
            <a:rPr lang="en-US" sz="2400" baseline="0"/>
            <a:t> which movie genre preffered by male and gender.</a:t>
          </a:r>
          <a:r>
            <a:rPr lang="en-US" sz="2400"/>
            <a:t>By</a:t>
          </a:r>
          <a:r>
            <a:rPr lang="en-US" sz="2400" baseline="0"/>
            <a:t> this representation you can you can filter out favorite movie genre by gender.</a:t>
          </a:r>
          <a:endParaRPr lang="en-US" sz="2400"/>
        </a:p>
      </xdr:txBody>
    </xdr:sp>
    <xdr:clientData/>
  </xdr:twoCellAnchor>
  <xdr:twoCellAnchor>
    <xdr:from>
      <xdr:col>87</xdr:col>
      <xdr:colOff>471129</xdr:colOff>
      <xdr:row>14</xdr:row>
      <xdr:rowOff>94224</xdr:rowOff>
    </xdr:from>
    <xdr:to>
      <xdr:col>102</xdr:col>
      <xdr:colOff>476250</xdr:colOff>
      <xdr:row>25</xdr:row>
      <xdr:rowOff>63500</xdr:rowOff>
    </xdr:to>
    <xdr:sp macro="" textlink="">
      <xdr:nvSpPr>
        <xdr:cNvPr id="44" name="Rectangle 43">
          <a:extLst>
            <a:ext uri="{FF2B5EF4-FFF2-40B4-BE49-F238E27FC236}">
              <a16:creationId xmlns:a16="http://schemas.microsoft.com/office/drawing/2014/main" id="{4D1B55C0-62FB-9866-EDD7-6EF95A922354}"/>
            </a:ext>
          </a:extLst>
        </xdr:cNvPr>
        <xdr:cNvSpPr/>
      </xdr:nvSpPr>
      <xdr:spPr>
        <a:xfrm>
          <a:off x="52382379" y="2761224"/>
          <a:ext cx="8577621" cy="2064776"/>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solidFill>
                <a:schemeClr val="tx1"/>
              </a:solidFill>
            </a:rPr>
            <a:t>By</a:t>
          </a:r>
          <a:r>
            <a:rPr lang="en-US" sz="3200" baseline="0">
              <a:solidFill>
                <a:schemeClr val="tx1"/>
              </a:solidFill>
            </a:rPr>
            <a:t> comparing this representation hotstar,disney+ are mostly watched by female.Zee5 and  sony liv are preffered by male.</a:t>
          </a:r>
          <a:endParaRPr lang="en-US" sz="3200">
            <a:solidFill>
              <a:schemeClr val="tx1"/>
            </a:solidFill>
          </a:endParaRPr>
        </a:p>
      </xdr:txBody>
    </xdr:sp>
    <xdr:clientData/>
  </xdr:twoCellAnchor>
  <xdr:twoCellAnchor>
    <xdr:from>
      <xdr:col>21</xdr:col>
      <xdr:colOff>487004</xdr:colOff>
      <xdr:row>125</xdr:row>
      <xdr:rowOff>39687</xdr:rowOff>
    </xdr:from>
    <xdr:to>
      <xdr:col>38</xdr:col>
      <xdr:colOff>538292</xdr:colOff>
      <xdr:row>138</xdr:row>
      <xdr:rowOff>132800</xdr:rowOff>
    </xdr:to>
    <xdr:sp macro="" textlink="">
      <xdr:nvSpPr>
        <xdr:cNvPr id="45" name="Rectangle 44">
          <a:extLst>
            <a:ext uri="{FF2B5EF4-FFF2-40B4-BE49-F238E27FC236}">
              <a16:creationId xmlns:a16="http://schemas.microsoft.com/office/drawing/2014/main" id="{56BC18E6-3B84-96BB-FFB1-334896D66D2D}"/>
            </a:ext>
          </a:extLst>
        </xdr:cNvPr>
        <xdr:cNvSpPr/>
      </xdr:nvSpPr>
      <xdr:spPr>
        <a:xfrm>
          <a:off x="12988567" y="22363906"/>
          <a:ext cx="10171600" cy="2414832"/>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a:t>In</a:t>
          </a:r>
          <a:r>
            <a:rPr lang="en-US" sz="3600" baseline="0"/>
            <a:t> this visulaization while comparing of all the age groups the 40-50 age groups have the more event attendance per year by the age groups. </a:t>
          </a:r>
          <a:endParaRPr lang="en-US" sz="3600"/>
        </a:p>
      </xdr:txBody>
    </xdr:sp>
    <xdr:clientData/>
  </xdr:twoCellAnchor>
  <xdr:twoCellAnchor>
    <xdr:from>
      <xdr:col>1</xdr:col>
      <xdr:colOff>176791</xdr:colOff>
      <xdr:row>181</xdr:row>
      <xdr:rowOff>79375</xdr:rowOff>
    </xdr:from>
    <xdr:to>
      <xdr:col>18</xdr:col>
      <xdr:colOff>555626</xdr:colOff>
      <xdr:row>200</xdr:row>
      <xdr:rowOff>10825</xdr:rowOff>
    </xdr:to>
    <xdr:sp macro="" textlink="">
      <xdr:nvSpPr>
        <xdr:cNvPr id="46" name="Rectangle 45">
          <a:extLst>
            <a:ext uri="{FF2B5EF4-FFF2-40B4-BE49-F238E27FC236}">
              <a16:creationId xmlns:a16="http://schemas.microsoft.com/office/drawing/2014/main" id="{B59A5FAC-C283-E4DF-FDD9-37C4A386CE53}"/>
            </a:ext>
          </a:extLst>
        </xdr:cNvPr>
        <xdr:cNvSpPr/>
      </xdr:nvSpPr>
      <xdr:spPr>
        <a:xfrm>
          <a:off x="772104" y="35996563"/>
          <a:ext cx="10499147" cy="3701762"/>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a:solidFill>
                <a:schemeClr val="tx1"/>
              </a:solidFill>
            </a:rPr>
            <a:t>In</a:t>
          </a:r>
          <a:r>
            <a:rPr lang="en-US" sz="3600" baseline="0">
              <a:solidFill>
                <a:schemeClr val="tx1"/>
              </a:solidFill>
            </a:rPr>
            <a:t> the age group of 40-50 has the more count of music genre.</a:t>
          </a:r>
        </a:p>
        <a:p>
          <a:pPr algn="l"/>
          <a:r>
            <a:rPr lang="en-US" sz="3600" baseline="0">
              <a:solidFill>
                <a:schemeClr val="tx1"/>
              </a:solidFill>
            </a:rPr>
            <a:t>10-19 age group does not have much interest in the favorite music genre.</a:t>
          </a:r>
          <a:endParaRPr lang="en-US" sz="3600">
            <a:solidFill>
              <a:schemeClr val="tx1"/>
            </a:solidFill>
          </a:endParaRPr>
        </a:p>
      </xdr:txBody>
    </xdr:sp>
    <xdr:clientData/>
  </xdr:twoCellAnchor>
  <xdr:twoCellAnchor editAs="oneCell">
    <xdr:from>
      <xdr:col>1</xdr:col>
      <xdr:colOff>135450</xdr:colOff>
      <xdr:row>66</xdr:row>
      <xdr:rowOff>68374</xdr:rowOff>
    </xdr:from>
    <xdr:to>
      <xdr:col>7</xdr:col>
      <xdr:colOff>415632</xdr:colOff>
      <xdr:row>76</xdr:row>
      <xdr:rowOff>136071</xdr:rowOff>
    </xdr:to>
    <mc:AlternateContent xmlns:mc="http://schemas.openxmlformats.org/markup-compatibility/2006" xmlns:a14="http://schemas.microsoft.com/office/drawing/2010/main">
      <mc:Choice Requires="a14">
        <xdr:graphicFrame macro="">
          <xdr:nvGraphicFramePr>
            <xdr:cNvPr id="48" name="Age 1">
              <a:extLst>
                <a:ext uri="{FF2B5EF4-FFF2-40B4-BE49-F238E27FC236}">
                  <a16:creationId xmlns:a16="http://schemas.microsoft.com/office/drawing/2014/main" id="{13952945-EC54-74E6-030A-E00BA60A136C}"/>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758238" y="12157797"/>
              <a:ext cx="4016913" cy="18994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401052</xdr:colOff>
      <xdr:row>66</xdr:row>
      <xdr:rowOff>150395</xdr:rowOff>
    </xdr:from>
    <xdr:to>
      <xdr:col>18</xdr:col>
      <xdr:colOff>225592</xdr:colOff>
      <xdr:row>79</xdr:row>
      <xdr:rowOff>150395</xdr:rowOff>
    </xdr:to>
    <xdr:sp macro="" textlink="">
      <xdr:nvSpPr>
        <xdr:cNvPr id="49" name="Rectangle 48">
          <a:extLst>
            <a:ext uri="{FF2B5EF4-FFF2-40B4-BE49-F238E27FC236}">
              <a16:creationId xmlns:a16="http://schemas.microsoft.com/office/drawing/2014/main" id="{42919BAB-14D8-CB16-04EA-7DACA9BE364A}"/>
            </a:ext>
          </a:extLst>
        </xdr:cNvPr>
        <xdr:cNvSpPr/>
      </xdr:nvSpPr>
      <xdr:spPr>
        <a:xfrm>
          <a:off x="5213684" y="13385132"/>
          <a:ext cx="5840329" cy="2606842"/>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solidFill>
                <a:schemeClr val="tx1"/>
              </a:solidFill>
            </a:rPr>
            <a:t>In</a:t>
          </a:r>
          <a:r>
            <a:rPr lang="en-US" sz="2400" baseline="0">
              <a:solidFill>
                <a:schemeClr val="tx1"/>
              </a:solidFill>
            </a:rPr>
            <a:t> the visualaisation shows that which age group are spending more for monthly entertainment.40-50 age group are spending more in monthly entartainment.</a:t>
          </a:r>
          <a:endParaRPr lang="en-US" sz="2400">
            <a:solidFill>
              <a:schemeClr val="tx1"/>
            </a:solidFill>
          </a:endParaRPr>
        </a:p>
      </xdr:txBody>
    </xdr:sp>
    <xdr:clientData/>
  </xdr:twoCellAnchor>
  <xdr:oneCellAnchor>
    <xdr:from>
      <xdr:col>46</xdr:col>
      <xdr:colOff>272704</xdr:colOff>
      <xdr:row>5</xdr:row>
      <xdr:rowOff>37041</xdr:rowOff>
    </xdr:from>
    <xdr:ext cx="13611306" cy="1344727"/>
    <xdr:sp macro="" textlink="">
      <xdr:nvSpPr>
        <xdr:cNvPr id="51" name="Rectangle 50">
          <a:extLst>
            <a:ext uri="{FF2B5EF4-FFF2-40B4-BE49-F238E27FC236}">
              <a16:creationId xmlns:a16="http://schemas.microsoft.com/office/drawing/2014/main" id="{765B87E6-FCD2-9A62-93C4-394D1CBA9866}"/>
            </a:ext>
          </a:extLst>
        </xdr:cNvPr>
        <xdr:cNvSpPr/>
      </xdr:nvSpPr>
      <xdr:spPr>
        <a:xfrm>
          <a:off x="27657079" y="930010"/>
          <a:ext cx="13611306" cy="1344727"/>
        </a:xfrm>
        <a:prstGeom prst="rect">
          <a:avLst/>
        </a:prstGeom>
        <a:noFill/>
      </xdr:spPr>
      <xdr:txBody>
        <a:bodyPr wrap="square" lIns="91440" tIns="45720" rIns="91440" bIns="45720">
          <a:spAutoFit/>
        </a:bodyPr>
        <a:lstStyle/>
        <a:p>
          <a:r>
            <a:rPr lang="en-US" sz="4000" b="1">
              <a:solidFill>
                <a:schemeClr val="bg1"/>
              </a:solidFill>
              <a:effectLst/>
              <a:latin typeface="+mn-lt"/>
              <a:ea typeface="+mn-ea"/>
              <a:cs typeface="+mn-cs"/>
            </a:rPr>
            <a:t>                                                                                                                                                                                  ENTERTAINMENT</a:t>
          </a:r>
          <a:r>
            <a:rPr lang="en-US" sz="4000" b="1" baseline="0">
              <a:solidFill>
                <a:schemeClr val="bg1"/>
              </a:solidFill>
              <a:effectLst/>
              <a:latin typeface="+mn-lt"/>
              <a:ea typeface="+mn-ea"/>
              <a:cs typeface="+mn-cs"/>
            </a:rPr>
            <a:t> PREFERENCES : DASHBOARD</a:t>
          </a:r>
          <a:endParaRPr lang="en-US" sz="4000">
            <a:solidFill>
              <a:schemeClr val="bg1"/>
            </a:solidFill>
            <a:effectLst/>
          </a:endParaRPr>
        </a:p>
      </xdr:txBody>
    </xdr:sp>
    <xdr:clientData/>
  </xdr:oneCellAnchor>
  <xdr:twoCellAnchor editAs="oneCell">
    <xdr:from>
      <xdr:col>45</xdr:col>
      <xdr:colOff>551497</xdr:colOff>
      <xdr:row>27</xdr:row>
      <xdr:rowOff>95249</xdr:rowOff>
    </xdr:from>
    <xdr:to>
      <xdr:col>56</xdr:col>
      <xdr:colOff>48615</xdr:colOff>
      <xdr:row>42</xdr:row>
      <xdr:rowOff>148828</xdr:rowOff>
    </xdr:to>
    <mc:AlternateContent xmlns:mc="http://schemas.openxmlformats.org/markup-compatibility/2006" xmlns:a14="http://schemas.microsoft.com/office/drawing/2010/main">
      <mc:Choice Requires="a14">
        <xdr:graphicFrame macro="">
          <xdr:nvGraphicFramePr>
            <xdr:cNvPr id="53" name="Preferred_Platform 1">
              <a:extLst>
                <a:ext uri="{FF2B5EF4-FFF2-40B4-BE49-F238E27FC236}">
                  <a16:creationId xmlns:a16="http://schemas.microsoft.com/office/drawing/2014/main" id="{40B84185-66C6-9325-A926-9D48077A318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eferred_Platform 1"/>
            </a:graphicData>
          </a:graphic>
        </xdr:graphicFrame>
      </mc:Choice>
      <mc:Fallback xmlns="">
        <xdr:sp macro="" textlink="">
          <xdr:nvSpPr>
            <xdr:cNvPr id="0" name=""/>
            <xdr:cNvSpPr>
              <a:spLocks noTextEdit="1"/>
            </xdr:cNvSpPr>
          </xdr:nvSpPr>
          <xdr:spPr>
            <a:xfrm>
              <a:off x="28576978" y="5040922"/>
              <a:ext cx="6347791" cy="2801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an Kuntumalla" refreshedDate="45934.689585995373" createdVersion="8" refreshedVersion="8" minRefreshableVersion="3" recordCount="250" xr:uid="{D88C3CDC-3B0E-4783-BFA5-20F9A25090C7}">
  <cacheSource type="worksheet">
    <worksheetSource name="entertainment_preferences_250"/>
  </cacheSource>
  <cacheFields count="10">
    <cacheField name="User_ID" numFmtId="0">
      <sharedItems containsSemiMixedTypes="0" containsString="0" containsNumber="1" containsInteger="1" minValue="1001" maxValue="1250"/>
    </cacheField>
    <cacheField name="Name" numFmtId="0">
      <sharedItems/>
    </cacheField>
    <cacheField name="Age" numFmtId="0">
      <sharedItems containsSemiMixedTypes="0" containsString="0" containsNumber="1" containsInteger="1" minValue="18" maxValue="50" count="33">
        <n v="37"/>
        <n v="47"/>
        <n v="42"/>
        <n v="25"/>
        <n v="30"/>
        <n v="29"/>
        <n v="23"/>
        <n v="45"/>
        <n v="39"/>
        <n v="34"/>
        <n v="35"/>
        <n v="22"/>
        <n v="36"/>
        <n v="28"/>
        <n v="31"/>
        <n v="49"/>
        <n v="21"/>
        <n v="26"/>
        <n v="48"/>
        <n v="40"/>
        <n v="18"/>
        <n v="32"/>
        <n v="41"/>
        <n v="46"/>
        <n v="19"/>
        <n v="43"/>
        <n v="24"/>
        <n v="27"/>
        <n v="33"/>
        <n v="50"/>
        <n v="44"/>
        <n v="38"/>
        <n v="20"/>
      </sharedItems>
      <fieldGroup base="2">
        <rangePr autoStart="0" startNum="10" endNum="50" groupInterval="10"/>
        <groupItems count="6">
          <s v="&lt;10"/>
          <s v="10-19"/>
          <s v="20-29"/>
          <s v="30-39"/>
          <s v="40-50"/>
          <s v="&gt;50"/>
        </groupItems>
      </fieldGroup>
    </cacheField>
    <cacheField name="Gender" numFmtId="0">
      <sharedItems count="2">
        <s v="Male"/>
        <s v="Female"/>
      </sharedItems>
    </cacheField>
    <cacheField name="Favorite_Movie_Genre" numFmtId="0">
      <sharedItems count="8">
        <s v="Drama"/>
        <s v="Action"/>
        <s v="Sci-Fi"/>
        <s v="Thriller"/>
        <s v="Comedy"/>
        <s v="Fantasy"/>
        <s v="Horror"/>
        <s v="Romance"/>
      </sharedItems>
    </cacheField>
    <cacheField name="Favorite_Music_Genre" numFmtId="0">
      <sharedItems/>
    </cacheField>
    <cacheField name="Streaming_Hours_per_Week" numFmtId="0">
      <sharedItems containsSemiMixedTypes="0" containsString="0" containsNumber="1" containsInteger="1" minValue="5" maxValue="30" count="26">
        <n v="13"/>
        <n v="16"/>
        <n v="27"/>
        <n v="30"/>
        <n v="9"/>
        <n v="5"/>
        <n v="11"/>
        <n v="18"/>
        <n v="26"/>
        <n v="15"/>
        <n v="14"/>
        <n v="17"/>
        <n v="23"/>
        <n v="25"/>
        <n v="19"/>
        <n v="7"/>
        <n v="29"/>
        <n v="28"/>
        <n v="22"/>
        <n v="20"/>
        <n v="6"/>
        <n v="21"/>
        <n v="8"/>
        <n v="24"/>
        <n v="12"/>
        <n v="10"/>
      </sharedItems>
    </cacheField>
    <cacheField name="Monthly_Entertainment_Spend" numFmtId="0">
      <sharedItems containsSemiMixedTypes="0" containsString="0" containsNumber="1" containsInteger="1" minValue="504" maxValue="2995"/>
    </cacheField>
    <cacheField name="Preferred_Platform" numFmtId="0">
      <sharedItems count="6">
        <s v="Hotstar"/>
        <s v="Disney+"/>
        <s v="Amazon Prime"/>
        <s v="Sony Liv"/>
        <s v="Netflix"/>
        <s v="Zee5"/>
      </sharedItems>
    </cacheField>
    <cacheField name="Event_Attendance_per_Year" numFmtId="0">
      <sharedItems containsSemiMixedTypes="0" containsString="0" containsNumber="1" containsInteger="1" minValue="0" maxValue="10"/>
    </cacheField>
  </cacheFields>
  <extLst>
    <ext xmlns:x14="http://schemas.microsoft.com/office/spreadsheetml/2009/9/main" uri="{725AE2AE-9491-48be-B2B4-4EB974FC3084}">
      <x14:pivotCacheDefinition pivotCacheId="8598344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n v="1001"/>
    <s v="Ananya"/>
    <x v="0"/>
    <x v="0"/>
    <x v="0"/>
    <s v="Country"/>
    <x v="0"/>
    <n v="856"/>
    <x v="0"/>
    <n v="8"/>
  </r>
  <r>
    <n v="1002"/>
    <s v="Kritika"/>
    <x v="1"/>
    <x v="1"/>
    <x v="1"/>
    <s v="Pop"/>
    <x v="1"/>
    <n v="2738"/>
    <x v="1"/>
    <n v="6"/>
  </r>
  <r>
    <n v="1003"/>
    <s v="Tara"/>
    <x v="2"/>
    <x v="0"/>
    <x v="2"/>
    <s v="Rock"/>
    <x v="2"/>
    <n v="2865"/>
    <x v="2"/>
    <n v="5"/>
  </r>
  <r>
    <n v="1004"/>
    <s v="Riya"/>
    <x v="3"/>
    <x v="0"/>
    <x v="3"/>
    <s v="Pop"/>
    <x v="3"/>
    <n v="2516"/>
    <x v="2"/>
    <n v="7"/>
  </r>
  <r>
    <n v="1005"/>
    <s v="Kabir"/>
    <x v="4"/>
    <x v="1"/>
    <x v="4"/>
    <s v="Country"/>
    <x v="0"/>
    <n v="564"/>
    <x v="0"/>
    <n v="2"/>
  </r>
  <r>
    <n v="1006"/>
    <s v="Dev"/>
    <x v="5"/>
    <x v="1"/>
    <x v="4"/>
    <s v="Hip-Hop"/>
    <x v="4"/>
    <n v="1872"/>
    <x v="3"/>
    <n v="2"/>
  </r>
  <r>
    <n v="1007"/>
    <s v="Rohan"/>
    <x v="6"/>
    <x v="1"/>
    <x v="5"/>
    <s v="Classical"/>
    <x v="5"/>
    <n v="1446"/>
    <x v="0"/>
    <n v="7"/>
  </r>
  <r>
    <n v="1008"/>
    <s v="Aarav"/>
    <x v="7"/>
    <x v="0"/>
    <x v="6"/>
    <s v="Pop"/>
    <x v="6"/>
    <n v="509"/>
    <x v="4"/>
    <n v="5"/>
  </r>
  <r>
    <n v="1009"/>
    <s v="Simran"/>
    <x v="8"/>
    <x v="0"/>
    <x v="6"/>
    <s v="Jazz"/>
    <x v="7"/>
    <n v="2124"/>
    <x v="3"/>
    <n v="9"/>
  </r>
  <r>
    <n v="1010"/>
    <s v="Raj"/>
    <x v="9"/>
    <x v="1"/>
    <x v="6"/>
    <s v="Jazz"/>
    <x v="3"/>
    <n v="1684"/>
    <x v="0"/>
    <n v="4"/>
  </r>
  <r>
    <n v="1011"/>
    <s v="Vihaan"/>
    <x v="10"/>
    <x v="1"/>
    <x v="1"/>
    <s v="EDM"/>
    <x v="8"/>
    <n v="507"/>
    <x v="2"/>
    <n v="10"/>
  </r>
  <r>
    <n v="1012"/>
    <s v="Neha"/>
    <x v="11"/>
    <x v="0"/>
    <x v="1"/>
    <s v="Pop"/>
    <x v="5"/>
    <n v="1743"/>
    <x v="3"/>
    <n v="4"/>
  </r>
  <r>
    <n v="1013"/>
    <s v="Tara"/>
    <x v="1"/>
    <x v="1"/>
    <x v="1"/>
    <s v="Country"/>
    <x v="4"/>
    <n v="1339"/>
    <x v="5"/>
    <n v="5"/>
  </r>
  <r>
    <n v="1014"/>
    <s v="Aditya"/>
    <x v="12"/>
    <x v="1"/>
    <x v="1"/>
    <s v="Rock"/>
    <x v="1"/>
    <n v="1439"/>
    <x v="4"/>
    <n v="8"/>
  </r>
  <r>
    <n v="1015"/>
    <s v="Simran"/>
    <x v="13"/>
    <x v="1"/>
    <x v="6"/>
    <s v="Country"/>
    <x v="9"/>
    <n v="1531"/>
    <x v="5"/>
    <n v="8"/>
  </r>
  <r>
    <n v="1016"/>
    <s v="Rohan"/>
    <x v="12"/>
    <x v="1"/>
    <x v="6"/>
    <s v="Pop"/>
    <x v="10"/>
    <n v="1512"/>
    <x v="0"/>
    <n v="9"/>
  </r>
  <r>
    <n v="1017"/>
    <s v="Simran"/>
    <x v="7"/>
    <x v="1"/>
    <x v="4"/>
    <s v="Country"/>
    <x v="11"/>
    <n v="2216"/>
    <x v="5"/>
    <n v="1"/>
  </r>
  <r>
    <n v="1018"/>
    <s v="Kunal"/>
    <x v="14"/>
    <x v="1"/>
    <x v="4"/>
    <s v="EDM"/>
    <x v="12"/>
    <n v="568"/>
    <x v="1"/>
    <n v="8"/>
  </r>
  <r>
    <n v="1019"/>
    <s v="Aarav"/>
    <x v="15"/>
    <x v="1"/>
    <x v="3"/>
    <s v="Classical"/>
    <x v="4"/>
    <n v="1715"/>
    <x v="2"/>
    <n v="9"/>
  </r>
  <r>
    <n v="1020"/>
    <s v="Kabir"/>
    <x v="16"/>
    <x v="1"/>
    <x v="1"/>
    <s v="EDM"/>
    <x v="13"/>
    <n v="2831"/>
    <x v="1"/>
    <n v="10"/>
  </r>
  <r>
    <n v="1021"/>
    <s v="Priya"/>
    <x v="12"/>
    <x v="0"/>
    <x v="5"/>
    <s v="Classical"/>
    <x v="6"/>
    <n v="2607"/>
    <x v="2"/>
    <n v="7"/>
  </r>
  <r>
    <n v="1022"/>
    <s v="Isha"/>
    <x v="17"/>
    <x v="1"/>
    <x v="6"/>
    <s v="EDM"/>
    <x v="8"/>
    <n v="884"/>
    <x v="3"/>
    <n v="10"/>
  </r>
  <r>
    <n v="1023"/>
    <s v="Aarav"/>
    <x v="4"/>
    <x v="1"/>
    <x v="4"/>
    <s v="Pop"/>
    <x v="12"/>
    <n v="1359"/>
    <x v="0"/>
    <n v="5"/>
  </r>
  <r>
    <n v="1024"/>
    <s v="Pooja"/>
    <x v="9"/>
    <x v="1"/>
    <x v="7"/>
    <s v="EDM"/>
    <x v="14"/>
    <n v="757"/>
    <x v="1"/>
    <n v="3"/>
  </r>
  <r>
    <n v="1025"/>
    <s v="Isha"/>
    <x v="3"/>
    <x v="1"/>
    <x v="6"/>
    <s v="Country"/>
    <x v="5"/>
    <n v="1965"/>
    <x v="1"/>
    <n v="3"/>
  </r>
  <r>
    <n v="1026"/>
    <s v="Raj"/>
    <x v="4"/>
    <x v="1"/>
    <x v="7"/>
    <s v="EDM"/>
    <x v="4"/>
    <n v="2395"/>
    <x v="3"/>
    <n v="6"/>
  </r>
  <r>
    <n v="1027"/>
    <s v="Priya"/>
    <x v="15"/>
    <x v="0"/>
    <x v="7"/>
    <s v="Pop"/>
    <x v="7"/>
    <n v="2578"/>
    <x v="3"/>
    <n v="3"/>
  </r>
  <r>
    <n v="1028"/>
    <s v="Rohan"/>
    <x v="15"/>
    <x v="1"/>
    <x v="7"/>
    <s v="Hip-Hop"/>
    <x v="7"/>
    <n v="1651"/>
    <x v="0"/>
    <n v="0"/>
  </r>
  <r>
    <n v="1029"/>
    <s v="Kunal"/>
    <x v="12"/>
    <x v="0"/>
    <x v="4"/>
    <s v="Pop"/>
    <x v="15"/>
    <n v="2263"/>
    <x v="0"/>
    <n v="3"/>
  </r>
  <r>
    <n v="1030"/>
    <s v="Aarav"/>
    <x v="12"/>
    <x v="0"/>
    <x v="6"/>
    <s v="Pop"/>
    <x v="16"/>
    <n v="733"/>
    <x v="0"/>
    <n v="5"/>
  </r>
  <r>
    <n v="1031"/>
    <s v="Tara"/>
    <x v="18"/>
    <x v="1"/>
    <x v="7"/>
    <s v="Country"/>
    <x v="17"/>
    <n v="1749"/>
    <x v="3"/>
    <n v="5"/>
  </r>
  <r>
    <n v="1032"/>
    <s v="Priya"/>
    <x v="16"/>
    <x v="1"/>
    <x v="4"/>
    <s v="Rock"/>
    <x v="7"/>
    <n v="1716"/>
    <x v="3"/>
    <n v="2"/>
  </r>
  <r>
    <n v="1033"/>
    <s v="Raj"/>
    <x v="15"/>
    <x v="0"/>
    <x v="4"/>
    <s v="Classical"/>
    <x v="17"/>
    <n v="2602"/>
    <x v="5"/>
    <n v="2"/>
  </r>
  <r>
    <n v="1034"/>
    <s v="Pooja"/>
    <x v="0"/>
    <x v="1"/>
    <x v="2"/>
    <s v="Pop"/>
    <x v="16"/>
    <n v="1106"/>
    <x v="0"/>
    <n v="9"/>
  </r>
  <r>
    <n v="1035"/>
    <s v="Ananya"/>
    <x v="19"/>
    <x v="0"/>
    <x v="0"/>
    <s v="Hip-Hop"/>
    <x v="18"/>
    <n v="1488"/>
    <x v="2"/>
    <n v="9"/>
  </r>
  <r>
    <n v="1036"/>
    <s v="Rohan"/>
    <x v="2"/>
    <x v="1"/>
    <x v="7"/>
    <s v="Country"/>
    <x v="2"/>
    <n v="1455"/>
    <x v="2"/>
    <n v="10"/>
  </r>
  <r>
    <n v="1037"/>
    <s v="Neha"/>
    <x v="13"/>
    <x v="1"/>
    <x v="6"/>
    <s v="Rock"/>
    <x v="19"/>
    <n v="2353"/>
    <x v="0"/>
    <n v="10"/>
  </r>
  <r>
    <n v="1038"/>
    <s v="Vihaan"/>
    <x v="20"/>
    <x v="1"/>
    <x v="7"/>
    <s v="EDM"/>
    <x v="8"/>
    <n v="880"/>
    <x v="3"/>
    <n v="10"/>
  </r>
  <r>
    <n v="1039"/>
    <s v="Kabir"/>
    <x v="21"/>
    <x v="1"/>
    <x v="2"/>
    <s v="EDM"/>
    <x v="9"/>
    <n v="2569"/>
    <x v="5"/>
    <n v="6"/>
  </r>
  <r>
    <n v="1040"/>
    <s v="Neha"/>
    <x v="10"/>
    <x v="1"/>
    <x v="7"/>
    <s v="Hip-Hop"/>
    <x v="14"/>
    <n v="2995"/>
    <x v="3"/>
    <n v="0"/>
  </r>
  <r>
    <n v="1041"/>
    <s v="Raj"/>
    <x v="22"/>
    <x v="1"/>
    <x v="5"/>
    <s v="Classical"/>
    <x v="20"/>
    <n v="720"/>
    <x v="1"/>
    <n v="4"/>
  </r>
  <r>
    <n v="1042"/>
    <s v="Kabir"/>
    <x v="23"/>
    <x v="1"/>
    <x v="1"/>
    <s v="Jazz"/>
    <x v="1"/>
    <n v="2224"/>
    <x v="3"/>
    <n v="5"/>
  </r>
  <r>
    <n v="1043"/>
    <s v="Vihaan"/>
    <x v="24"/>
    <x v="0"/>
    <x v="1"/>
    <s v="EDM"/>
    <x v="21"/>
    <n v="2994"/>
    <x v="0"/>
    <n v="2"/>
  </r>
  <r>
    <n v="1044"/>
    <s v="Simran"/>
    <x v="19"/>
    <x v="1"/>
    <x v="7"/>
    <s v="EDM"/>
    <x v="22"/>
    <n v="2463"/>
    <x v="1"/>
    <n v="0"/>
  </r>
  <r>
    <n v="1045"/>
    <s v="Raj"/>
    <x v="25"/>
    <x v="0"/>
    <x v="2"/>
    <s v="Classical"/>
    <x v="18"/>
    <n v="2779"/>
    <x v="4"/>
    <n v="0"/>
  </r>
  <r>
    <n v="1046"/>
    <s v="Arjun"/>
    <x v="9"/>
    <x v="1"/>
    <x v="5"/>
    <s v="Rock"/>
    <x v="20"/>
    <n v="2910"/>
    <x v="2"/>
    <n v="9"/>
  </r>
  <r>
    <n v="1047"/>
    <s v="Simran"/>
    <x v="13"/>
    <x v="1"/>
    <x v="5"/>
    <s v="Classical"/>
    <x v="9"/>
    <n v="2852"/>
    <x v="2"/>
    <n v="7"/>
  </r>
  <r>
    <n v="1048"/>
    <s v="Sahil"/>
    <x v="17"/>
    <x v="1"/>
    <x v="0"/>
    <s v="Hip-Hop"/>
    <x v="8"/>
    <n v="1401"/>
    <x v="1"/>
    <n v="5"/>
  </r>
  <r>
    <n v="1049"/>
    <s v="Sahil"/>
    <x v="21"/>
    <x v="1"/>
    <x v="5"/>
    <s v="Jazz"/>
    <x v="21"/>
    <n v="1320"/>
    <x v="0"/>
    <n v="2"/>
  </r>
  <r>
    <n v="1050"/>
    <s v="Arjun"/>
    <x v="26"/>
    <x v="0"/>
    <x v="0"/>
    <s v="Rock"/>
    <x v="17"/>
    <n v="1084"/>
    <x v="3"/>
    <n v="6"/>
  </r>
  <r>
    <n v="1051"/>
    <s v="Isha"/>
    <x v="21"/>
    <x v="0"/>
    <x v="0"/>
    <s v="EDM"/>
    <x v="9"/>
    <n v="1252"/>
    <x v="0"/>
    <n v="2"/>
  </r>
  <r>
    <n v="1052"/>
    <s v="Meera"/>
    <x v="26"/>
    <x v="1"/>
    <x v="0"/>
    <s v="Jazz"/>
    <x v="4"/>
    <n v="1473"/>
    <x v="0"/>
    <n v="6"/>
  </r>
  <r>
    <n v="1053"/>
    <s v="Sahil"/>
    <x v="27"/>
    <x v="1"/>
    <x v="2"/>
    <s v="Hip-Hop"/>
    <x v="15"/>
    <n v="731"/>
    <x v="1"/>
    <n v="0"/>
  </r>
  <r>
    <n v="1054"/>
    <s v="Kabir"/>
    <x v="28"/>
    <x v="0"/>
    <x v="6"/>
    <s v="EDM"/>
    <x v="22"/>
    <n v="1288"/>
    <x v="1"/>
    <n v="5"/>
  </r>
  <r>
    <n v="1055"/>
    <s v="Pooja"/>
    <x v="19"/>
    <x v="0"/>
    <x v="7"/>
    <s v="Rock"/>
    <x v="23"/>
    <n v="2842"/>
    <x v="2"/>
    <n v="5"/>
  </r>
  <r>
    <n v="1056"/>
    <s v="Aarav"/>
    <x v="29"/>
    <x v="0"/>
    <x v="3"/>
    <s v="EDM"/>
    <x v="24"/>
    <n v="504"/>
    <x v="3"/>
    <n v="4"/>
  </r>
  <r>
    <n v="1057"/>
    <s v="Kritika"/>
    <x v="19"/>
    <x v="1"/>
    <x v="0"/>
    <s v="Rock"/>
    <x v="0"/>
    <n v="994"/>
    <x v="1"/>
    <n v="8"/>
  </r>
  <r>
    <n v="1058"/>
    <s v="Aditya"/>
    <x v="14"/>
    <x v="1"/>
    <x v="2"/>
    <s v="Classical"/>
    <x v="18"/>
    <n v="2067"/>
    <x v="0"/>
    <n v="2"/>
  </r>
  <r>
    <n v="1059"/>
    <s v="Pooja"/>
    <x v="2"/>
    <x v="1"/>
    <x v="3"/>
    <s v="Jazz"/>
    <x v="14"/>
    <n v="1937"/>
    <x v="3"/>
    <n v="6"/>
  </r>
  <r>
    <n v="1060"/>
    <s v="Kunal"/>
    <x v="18"/>
    <x v="0"/>
    <x v="3"/>
    <s v="Classical"/>
    <x v="2"/>
    <n v="1695"/>
    <x v="5"/>
    <n v="9"/>
  </r>
  <r>
    <n v="1061"/>
    <s v="Raj"/>
    <x v="30"/>
    <x v="0"/>
    <x v="5"/>
    <s v="Hip-Hop"/>
    <x v="16"/>
    <n v="2493"/>
    <x v="3"/>
    <n v="1"/>
  </r>
  <r>
    <n v="1062"/>
    <s v="Simran"/>
    <x v="29"/>
    <x v="1"/>
    <x v="1"/>
    <s v="Jazz"/>
    <x v="12"/>
    <n v="1168"/>
    <x v="4"/>
    <n v="0"/>
  </r>
  <r>
    <n v="1063"/>
    <s v="Tara"/>
    <x v="19"/>
    <x v="0"/>
    <x v="4"/>
    <s v="Jazz"/>
    <x v="18"/>
    <n v="2472"/>
    <x v="3"/>
    <n v="9"/>
  </r>
  <r>
    <n v="1064"/>
    <s v="Kunal"/>
    <x v="23"/>
    <x v="1"/>
    <x v="3"/>
    <s v="Classical"/>
    <x v="20"/>
    <n v="901"/>
    <x v="5"/>
    <n v="6"/>
  </r>
  <r>
    <n v="1065"/>
    <s v="Dev"/>
    <x v="28"/>
    <x v="0"/>
    <x v="7"/>
    <s v="Country"/>
    <x v="2"/>
    <n v="1764"/>
    <x v="1"/>
    <n v="0"/>
  </r>
  <r>
    <n v="1066"/>
    <s v="Aarav"/>
    <x v="21"/>
    <x v="1"/>
    <x v="7"/>
    <s v="Classical"/>
    <x v="24"/>
    <n v="1827"/>
    <x v="4"/>
    <n v="5"/>
  </r>
  <r>
    <n v="1067"/>
    <s v="Rohan"/>
    <x v="13"/>
    <x v="0"/>
    <x v="7"/>
    <s v="Rock"/>
    <x v="2"/>
    <n v="558"/>
    <x v="4"/>
    <n v="3"/>
  </r>
  <r>
    <n v="1068"/>
    <s v="Rohan"/>
    <x v="12"/>
    <x v="0"/>
    <x v="7"/>
    <s v="Pop"/>
    <x v="21"/>
    <n v="692"/>
    <x v="3"/>
    <n v="9"/>
  </r>
  <r>
    <n v="1069"/>
    <s v="Aarav"/>
    <x v="2"/>
    <x v="0"/>
    <x v="5"/>
    <s v="Hip-Hop"/>
    <x v="25"/>
    <n v="2335"/>
    <x v="1"/>
    <n v="6"/>
  </r>
  <r>
    <n v="1070"/>
    <s v="Kabir"/>
    <x v="31"/>
    <x v="1"/>
    <x v="5"/>
    <s v="Rock"/>
    <x v="22"/>
    <n v="651"/>
    <x v="3"/>
    <n v="3"/>
  </r>
  <r>
    <n v="1071"/>
    <s v="Kunal"/>
    <x v="22"/>
    <x v="1"/>
    <x v="5"/>
    <s v="Rock"/>
    <x v="24"/>
    <n v="2209"/>
    <x v="3"/>
    <n v="10"/>
  </r>
  <r>
    <n v="1072"/>
    <s v="Tara"/>
    <x v="26"/>
    <x v="0"/>
    <x v="5"/>
    <s v="EDM"/>
    <x v="18"/>
    <n v="943"/>
    <x v="0"/>
    <n v="5"/>
  </r>
  <r>
    <n v="1073"/>
    <s v="Kabir"/>
    <x v="31"/>
    <x v="0"/>
    <x v="6"/>
    <s v="Rock"/>
    <x v="22"/>
    <n v="1105"/>
    <x v="5"/>
    <n v="1"/>
  </r>
  <r>
    <n v="1074"/>
    <s v="Kunal"/>
    <x v="30"/>
    <x v="0"/>
    <x v="7"/>
    <s v="Classical"/>
    <x v="3"/>
    <n v="925"/>
    <x v="0"/>
    <n v="10"/>
  </r>
  <r>
    <n v="1075"/>
    <s v="Sahil"/>
    <x v="32"/>
    <x v="0"/>
    <x v="4"/>
    <s v="Jazz"/>
    <x v="21"/>
    <n v="511"/>
    <x v="0"/>
    <n v="8"/>
  </r>
  <r>
    <n v="1076"/>
    <s v="Tara"/>
    <x v="29"/>
    <x v="1"/>
    <x v="2"/>
    <s v="Classical"/>
    <x v="24"/>
    <n v="1247"/>
    <x v="5"/>
    <n v="5"/>
  </r>
  <r>
    <n v="1077"/>
    <s v="Rohan"/>
    <x v="24"/>
    <x v="1"/>
    <x v="6"/>
    <s v="EDM"/>
    <x v="21"/>
    <n v="1254"/>
    <x v="0"/>
    <n v="1"/>
  </r>
  <r>
    <n v="1078"/>
    <s v="Kritika"/>
    <x v="26"/>
    <x v="0"/>
    <x v="4"/>
    <s v="EDM"/>
    <x v="20"/>
    <n v="1771"/>
    <x v="2"/>
    <n v="3"/>
  </r>
  <r>
    <n v="1079"/>
    <s v="Riya"/>
    <x v="32"/>
    <x v="1"/>
    <x v="3"/>
    <s v="Pop"/>
    <x v="22"/>
    <n v="787"/>
    <x v="4"/>
    <n v="7"/>
  </r>
  <r>
    <n v="1080"/>
    <s v="Ananya"/>
    <x v="14"/>
    <x v="1"/>
    <x v="5"/>
    <s v="Pop"/>
    <x v="9"/>
    <n v="1501"/>
    <x v="0"/>
    <n v="6"/>
  </r>
  <r>
    <n v="1081"/>
    <s v="Aditya"/>
    <x v="7"/>
    <x v="1"/>
    <x v="7"/>
    <s v="Classical"/>
    <x v="8"/>
    <n v="1653"/>
    <x v="1"/>
    <n v="4"/>
  </r>
  <r>
    <n v="1082"/>
    <s v="Riya"/>
    <x v="2"/>
    <x v="0"/>
    <x v="5"/>
    <s v="EDM"/>
    <x v="1"/>
    <n v="1202"/>
    <x v="0"/>
    <n v="10"/>
  </r>
  <r>
    <n v="1083"/>
    <s v="Kritika"/>
    <x v="8"/>
    <x v="1"/>
    <x v="0"/>
    <s v="Country"/>
    <x v="16"/>
    <n v="1230"/>
    <x v="2"/>
    <n v="5"/>
  </r>
  <r>
    <n v="1084"/>
    <s v="Ananya"/>
    <x v="15"/>
    <x v="1"/>
    <x v="6"/>
    <s v="Classical"/>
    <x v="0"/>
    <n v="1019"/>
    <x v="5"/>
    <n v="1"/>
  </r>
  <r>
    <n v="1085"/>
    <s v="Kabir"/>
    <x v="0"/>
    <x v="1"/>
    <x v="1"/>
    <s v="Jazz"/>
    <x v="20"/>
    <n v="1725"/>
    <x v="1"/>
    <n v="5"/>
  </r>
  <r>
    <n v="1086"/>
    <s v="Simran"/>
    <x v="0"/>
    <x v="0"/>
    <x v="2"/>
    <s v="Jazz"/>
    <x v="15"/>
    <n v="860"/>
    <x v="5"/>
    <n v="8"/>
  </r>
  <r>
    <n v="1087"/>
    <s v="Isha"/>
    <x v="3"/>
    <x v="0"/>
    <x v="6"/>
    <s v="Country"/>
    <x v="5"/>
    <n v="661"/>
    <x v="4"/>
    <n v="6"/>
  </r>
  <r>
    <n v="1088"/>
    <s v="Aarav"/>
    <x v="18"/>
    <x v="0"/>
    <x v="5"/>
    <s v="Rock"/>
    <x v="12"/>
    <n v="2842"/>
    <x v="5"/>
    <n v="10"/>
  </r>
  <r>
    <n v="1089"/>
    <s v="Pooja"/>
    <x v="1"/>
    <x v="0"/>
    <x v="1"/>
    <s v="Hip-Hop"/>
    <x v="21"/>
    <n v="2197"/>
    <x v="3"/>
    <n v="6"/>
  </r>
  <r>
    <n v="1090"/>
    <s v="Meera"/>
    <x v="8"/>
    <x v="0"/>
    <x v="2"/>
    <s v="Classical"/>
    <x v="12"/>
    <n v="1495"/>
    <x v="4"/>
    <n v="0"/>
  </r>
  <r>
    <n v="1091"/>
    <s v="Arjun"/>
    <x v="3"/>
    <x v="1"/>
    <x v="5"/>
    <s v="Rock"/>
    <x v="0"/>
    <n v="761"/>
    <x v="4"/>
    <n v="6"/>
  </r>
  <r>
    <n v="1092"/>
    <s v="Meera"/>
    <x v="25"/>
    <x v="1"/>
    <x v="4"/>
    <s v="Hip-Hop"/>
    <x v="5"/>
    <n v="1840"/>
    <x v="3"/>
    <n v="2"/>
  </r>
  <r>
    <n v="1093"/>
    <s v="Priya"/>
    <x v="8"/>
    <x v="1"/>
    <x v="4"/>
    <s v="Hip-Hop"/>
    <x v="14"/>
    <n v="2942"/>
    <x v="1"/>
    <n v="1"/>
  </r>
  <r>
    <n v="1094"/>
    <s v="Riya"/>
    <x v="21"/>
    <x v="0"/>
    <x v="2"/>
    <s v="Country"/>
    <x v="6"/>
    <n v="1513"/>
    <x v="5"/>
    <n v="2"/>
  </r>
  <r>
    <n v="1095"/>
    <s v="Aditya"/>
    <x v="8"/>
    <x v="0"/>
    <x v="5"/>
    <s v="Hip-Hop"/>
    <x v="11"/>
    <n v="2902"/>
    <x v="2"/>
    <n v="10"/>
  </r>
  <r>
    <n v="1096"/>
    <s v="Meera"/>
    <x v="30"/>
    <x v="1"/>
    <x v="3"/>
    <s v="Jazz"/>
    <x v="3"/>
    <n v="972"/>
    <x v="1"/>
    <n v="3"/>
  </r>
  <r>
    <n v="1097"/>
    <s v="Priya"/>
    <x v="17"/>
    <x v="0"/>
    <x v="5"/>
    <s v="Jazz"/>
    <x v="18"/>
    <n v="691"/>
    <x v="5"/>
    <n v="10"/>
  </r>
  <r>
    <n v="1098"/>
    <s v="Simran"/>
    <x v="3"/>
    <x v="0"/>
    <x v="7"/>
    <s v="Rock"/>
    <x v="13"/>
    <n v="2791"/>
    <x v="1"/>
    <n v="9"/>
  </r>
  <r>
    <n v="1099"/>
    <s v="Simran"/>
    <x v="4"/>
    <x v="0"/>
    <x v="2"/>
    <s v="Pop"/>
    <x v="2"/>
    <n v="1649"/>
    <x v="5"/>
    <n v="5"/>
  </r>
  <r>
    <n v="1100"/>
    <s v="Aditya"/>
    <x v="17"/>
    <x v="1"/>
    <x v="3"/>
    <s v="Country"/>
    <x v="13"/>
    <n v="2194"/>
    <x v="0"/>
    <n v="8"/>
  </r>
  <r>
    <n v="1101"/>
    <s v="Dev"/>
    <x v="4"/>
    <x v="0"/>
    <x v="0"/>
    <s v="Rock"/>
    <x v="7"/>
    <n v="675"/>
    <x v="2"/>
    <n v="10"/>
  </r>
  <r>
    <n v="1102"/>
    <s v="Kritika"/>
    <x v="27"/>
    <x v="0"/>
    <x v="5"/>
    <s v="Rock"/>
    <x v="24"/>
    <n v="1179"/>
    <x v="0"/>
    <n v="9"/>
  </r>
  <r>
    <n v="1103"/>
    <s v="Kabir"/>
    <x v="1"/>
    <x v="0"/>
    <x v="0"/>
    <s v="Jazz"/>
    <x v="16"/>
    <n v="1349"/>
    <x v="1"/>
    <n v="7"/>
  </r>
  <r>
    <n v="1104"/>
    <s v="Dev"/>
    <x v="17"/>
    <x v="0"/>
    <x v="6"/>
    <s v="Classical"/>
    <x v="7"/>
    <n v="2300"/>
    <x v="3"/>
    <n v="9"/>
  </r>
  <r>
    <n v="1105"/>
    <s v="Isha"/>
    <x v="10"/>
    <x v="1"/>
    <x v="6"/>
    <s v="Country"/>
    <x v="15"/>
    <n v="2602"/>
    <x v="0"/>
    <n v="0"/>
  </r>
  <r>
    <n v="1106"/>
    <s v="Rohan"/>
    <x v="27"/>
    <x v="1"/>
    <x v="2"/>
    <s v="Classical"/>
    <x v="19"/>
    <n v="814"/>
    <x v="0"/>
    <n v="7"/>
  </r>
  <r>
    <n v="1107"/>
    <s v="Isha"/>
    <x v="17"/>
    <x v="1"/>
    <x v="7"/>
    <s v="Country"/>
    <x v="12"/>
    <n v="2490"/>
    <x v="2"/>
    <n v="10"/>
  </r>
  <r>
    <n v="1108"/>
    <s v="Pooja"/>
    <x v="11"/>
    <x v="0"/>
    <x v="4"/>
    <s v="Country"/>
    <x v="17"/>
    <n v="1949"/>
    <x v="3"/>
    <n v="2"/>
  </r>
  <r>
    <n v="1109"/>
    <s v="Simran"/>
    <x v="21"/>
    <x v="0"/>
    <x v="7"/>
    <s v="EDM"/>
    <x v="15"/>
    <n v="1836"/>
    <x v="0"/>
    <n v="1"/>
  </r>
  <r>
    <n v="1110"/>
    <s v="Aditya"/>
    <x v="21"/>
    <x v="0"/>
    <x v="4"/>
    <s v="Classical"/>
    <x v="22"/>
    <n v="1117"/>
    <x v="3"/>
    <n v="2"/>
  </r>
  <r>
    <n v="1111"/>
    <s v="Kunal"/>
    <x v="3"/>
    <x v="0"/>
    <x v="4"/>
    <s v="Rock"/>
    <x v="3"/>
    <n v="2784"/>
    <x v="2"/>
    <n v="1"/>
  </r>
  <r>
    <n v="1112"/>
    <s v="Sahil"/>
    <x v="5"/>
    <x v="0"/>
    <x v="5"/>
    <s v="Rock"/>
    <x v="23"/>
    <n v="1071"/>
    <x v="5"/>
    <n v="0"/>
  </r>
  <r>
    <n v="1113"/>
    <s v="Rohan"/>
    <x v="1"/>
    <x v="0"/>
    <x v="7"/>
    <s v="EDM"/>
    <x v="17"/>
    <n v="1242"/>
    <x v="4"/>
    <n v="7"/>
  </r>
  <r>
    <n v="1114"/>
    <s v="Isha"/>
    <x v="22"/>
    <x v="1"/>
    <x v="3"/>
    <s v="Hip-Hop"/>
    <x v="14"/>
    <n v="1705"/>
    <x v="1"/>
    <n v="8"/>
  </r>
  <r>
    <n v="1115"/>
    <s v="Vihaan"/>
    <x v="25"/>
    <x v="1"/>
    <x v="0"/>
    <s v="Jazz"/>
    <x v="4"/>
    <n v="2611"/>
    <x v="3"/>
    <n v="9"/>
  </r>
  <r>
    <n v="1116"/>
    <s v="Sahil"/>
    <x v="31"/>
    <x v="1"/>
    <x v="4"/>
    <s v="Pop"/>
    <x v="17"/>
    <n v="1191"/>
    <x v="3"/>
    <n v="2"/>
  </r>
  <r>
    <n v="1117"/>
    <s v="Rohan"/>
    <x v="23"/>
    <x v="0"/>
    <x v="4"/>
    <s v="Classical"/>
    <x v="17"/>
    <n v="1940"/>
    <x v="3"/>
    <n v="0"/>
  </r>
  <r>
    <n v="1118"/>
    <s v="Priya"/>
    <x v="17"/>
    <x v="1"/>
    <x v="4"/>
    <s v="Pop"/>
    <x v="2"/>
    <n v="1484"/>
    <x v="1"/>
    <n v="6"/>
  </r>
  <r>
    <n v="1119"/>
    <s v="Kritika"/>
    <x v="26"/>
    <x v="1"/>
    <x v="6"/>
    <s v="Rock"/>
    <x v="13"/>
    <n v="1253"/>
    <x v="1"/>
    <n v="5"/>
  </r>
  <r>
    <n v="1120"/>
    <s v="Riya"/>
    <x v="1"/>
    <x v="0"/>
    <x v="0"/>
    <s v="Pop"/>
    <x v="8"/>
    <n v="2289"/>
    <x v="1"/>
    <n v="10"/>
  </r>
  <r>
    <n v="1121"/>
    <s v="Kunal"/>
    <x v="17"/>
    <x v="1"/>
    <x v="5"/>
    <s v="Country"/>
    <x v="12"/>
    <n v="1108"/>
    <x v="5"/>
    <n v="10"/>
  </r>
  <r>
    <n v="1122"/>
    <s v="Kabir"/>
    <x v="25"/>
    <x v="1"/>
    <x v="5"/>
    <s v="Hip-Hop"/>
    <x v="13"/>
    <n v="2312"/>
    <x v="0"/>
    <n v="1"/>
  </r>
  <r>
    <n v="1123"/>
    <s v="Sahil"/>
    <x v="25"/>
    <x v="1"/>
    <x v="0"/>
    <s v="Rock"/>
    <x v="0"/>
    <n v="894"/>
    <x v="4"/>
    <n v="7"/>
  </r>
  <r>
    <n v="1124"/>
    <s v="Neha"/>
    <x v="6"/>
    <x v="1"/>
    <x v="6"/>
    <s v="EDM"/>
    <x v="25"/>
    <n v="707"/>
    <x v="5"/>
    <n v="9"/>
  </r>
  <r>
    <n v="1125"/>
    <s v="Riya"/>
    <x v="12"/>
    <x v="1"/>
    <x v="1"/>
    <s v="Jazz"/>
    <x v="15"/>
    <n v="843"/>
    <x v="5"/>
    <n v="5"/>
  </r>
  <r>
    <n v="1126"/>
    <s v="Kritika"/>
    <x v="3"/>
    <x v="0"/>
    <x v="7"/>
    <s v="Rock"/>
    <x v="19"/>
    <n v="1146"/>
    <x v="5"/>
    <n v="7"/>
  </r>
  <r>
    <n v="1127"/>
    <s v="Raj"/>
    <x v="18"/>
    <x v="0"/>
    <x v="2"/>
    <s v="Country"/>
    <x v="17"/>
    <n v="2552"/>
    <x v="5"/>
    <n v="1"/>
  </r>
  <r>
    <n v="1128"/>
    <s v="Rohan"/>
    <x v="22"/>
    <x v="1"/>
    <x v="6"/>
    <s v="Classical"/>
    <x v="16"/>
    <n v="840"/>
    <x v="0"/>
    <n v="9"/>
  </r>
  <r>
    <n v="1129"/>
    <s v="Aarav"/>
    <x v="9"/>
    <x v="1"/>
    <x v="6"/>
    <s v="Rock"/>
    <x v="4"/>
    <n v="1153"/>
    <x v="0"/>
    <n v="1"/>
  </r>
  <r>
    <n v="1130"/>
    <s v="Neha"/>
    <x v="0"/>
    <x v="1"/>
    <x v="0"/>
    <s v="Jazz"/>
    <x v="13"/>
    <n v="982"/>
    <x v="4"/>
    <n v="10"/>
  </r>
  <r>
    <n v="1131"/>
    <s v="Sahil"/>
    <x v="2"/>
    <x v="1"/>
    <x v="0"/>
    <s v="Jazz"/>
    <x v="21"/>
    <n v="2642"/>
    <x v="5"/>
    <n v="7"/>
  </r>
  <r>
    <n v="1132"/>
    <s v="Tara"/>
    <x v="24"/>
    <x v="1"/>
    <x v="7"/>
    <s v="Hip-Hop"/>
    <x v="17"/>
    <n v="2846"/>
    <x v="1"/>
    <n v="0"/>
  </r>
  <r>
    <n v="1133"/>
    <s v="Rohan"/>
    <x v="30"/>
    <x v="1"/>
    <x v="3"/>
    <s v="Jazz"/>
    <x v="15"/>
    <n v="725"/>
    <x v="2"/>
    <n v="8"/>
  </r>
  <r>
    <n v="1134"/>
    <s v="Tara"/>
    <x v="8"/>
    <x v="0"/>
    <x v="4"/>
    <s v="Rock"/>
    <x v="12"/>
    <n v="1869"/>
    <x v="5"/>
    <n v="0"/>
  </r>
  <r>
    <n v="1135"/>
    <s v="Isha"/>
    <x v="22"/>
    <x v="0"/>
    <x v="2"/>
    <s v="EDM"/>
    <x v="21"/>
    <n v="2833"/>
    <x v="1"/>
    <n v="9"/>
  </r>
  <r>
    <n v="1136"/>
    <s v="Kritika"/>
    <x v="30"/>
    <x v="0"/>
    <x v="4"/>
    <s v="EDM"/>
    <x v="15"/>
    <n v="896"/>
    <x v="0"/>
    <n v="2"/>
  </r>
  <r>
    <n v="1137"/>
    <s v="Meera"/>
    <x v="16"/>
    <x v="0"/>
    <x v="3"/>
    <s v="EDM"/>
    <x v="16"/>
    <n v="2736"/>
    <x v="2"/>
    <n v="2"/>
  </r>
  <r>
    <n v="1138"/>
    <s v="Kunal"/>
    <x v="5"/>
    <x v="1"/>
    <x v="0"/>
    <s v="Country"/>
    <x v="18"/>
    <n v="1676"/>
    <x v="3"/>
    <n v="1"/>
  </r>
  <r>
    <n v="1139"/>
    <s v="Kabir"/>
    <x v="7"/>
    <x v="0"/>
    <x v="7"/>
    <s v="Country"/>
    <x v="16"/>
    <n v="2742"/>
    <x v="2"/>
    <n v="9"/>
  </r>
  <r>
    <n v="1140"/>
    <s v="Ananya"/>
    <x v="28"/>
    <x v="0"/>
    <x v="2"/>
    <s v="EDM"/>
    <x v="7"/>
    <n v="854"/>
    <x v="3"/>
    <n v="4"/>
  </r>
  <r>
    <n v="1141"/>
    <s v="Neha"/>
    <x v="14"/>
    <x v="1"/>
    <x v="7"/>
    <s v="EDM"/>
    <x v="5"/>
    <n v="1914"/>
    <x v="4"/>
    <n v="5"/>
  </r>
  <r>
    <n v="1142"/>
    <s v="Vihaan"/>
    <x v="4"/>
    <x v="0"/>
    <x v="1"/>
    <s v="Pop"/>
    <x v="13"/>
    <n v="1465"/>
    <x v="1"/>
    <n v="7"/>
  </r>
  <r>
    <n v="1143"/>
    <s v="Isha"/>
    <x v="26"/>
    <x v="1"/>
    <x v="0"/>
    <s v="Rock"/>
    <x v="10"/>
    <n v="1542"/>
    <x v="0"/>
    <n v="10"/>
  </r>
  <r>
    <n v="1144"/>
    <s v="Kunal"/>
    <x v="16"/>
    <x v="1"/>
    <x v="0"/>
    <s v="Rock"/>
    <x v="25"/>
    <n v="2584"/>
    <x v="1"/>
    <n v="0"/>
  </r>
  <r>
    <n v="1145"/>
    <s v="Isha"/>
    <x v="21"/>
    <x v="1"/>
    <x v="2"/>
    <s v="Rock"/>
    <x v="16"/>
    <n v="2657"/>
    <x v="3"/>
    <n v="3"/>
  </r>
  <r>
    <n v="1146"/>
    <s v="Vihaan"/>
    <x v="10"/>
    <x v="0"/>
    <x v="5"/>
    <s v="Pop"/>
    <x v="4"/>
    <n v="1557"/>
    <x v="5"/>
    <n v="10"/>
  </r>
  <r>
    <n v="1147"/>
    <s v="Kunal"/>
    <x v="11"/>
    <x v="0"/>
    <x v="5"/>
    <s v="Hip-Hop"/>
    <x v="2"/>
    <n v="1401"/>
    <x v="5"/>
    <n v="2"/>
  </r>
  <r>
    <n v="1148"/>
    <s v="Priya"/>
    <x v="16"/>
    <x v="1"/>
    <x v="5"/>
    <s v="Jazz"/>
    <x v="1"/>
    <n v="1199"/>
    <x v="5"/>
    <n v="2"/>
  </r>
  <r>
    <n v="1149"/>
    <s v="Meera"/>
    <x v="2"/>
    <x v="0"/>
    <x v="1"/>
    <s v="Pop"/>
    <x v="2"/>
    <n v="2247"/>
    <x v="2"/>
    <n v="3"/>
  </r>
  <r>
    <n v="1150"/>
    <s v="Neha"/>
    <x v="10"/>
    <x v="1"/>
    <x v="7"/>
    <s v="Jazz"/>
    <x v="10"/>
    <n v="1760"/>
    <x v="3"/>
    <n v="2"/>
  </r>
  <r>
    <n v="1151"/>
    <s v="Pooja"/>
    <x v="3"/>
    <x v="0"/>
    <x v="4"/>
    <s v="Jazz"/>
    <x v="0"/>
    <n v="772"/>
    <x v="4"/>
    <n v="7"/>
  </r>
  <r>
    <n v="1152"/>
    <s v="Dev"/>
    <x v="24"/>
    <x v="1"/>
    <x v="7"/>
    <s v="EDM"/>
    <x v="4"/>
    <n v="979"/>
    <x v="5"/>
    <n v="4"/>
  </r>
  <r>
    <n v="1153"/>
    <s v="Pooja"/>
    <x v="23"/>
    <x v="0"/>
    <x v="0"/>
    <s v="Country"/>
    <x v="23"/>
    <n v="1401"/>
    <x v="5"/>
    <n v="8"/>
  </r>
  <r>
    <n v="1154"/>
    <s v="Priya"/>
    <x v="3"/>
    <x v="1"/>
    <x v="6"/>
    <s v="Classical"/>
    <x v="2"/>
    <n v="1076"/>
    <x v="4"/>
    <n v="5"/>
  </r>
  <r>
    <n v="1155"/>
    <s v="Meera"/>
    <x v="22"/>
    <x v="0"/>
    <x v="4"/>
    <s v="Hip-Hop"/>
    <x v="0"/>
    <n v="2599"/>
    <x v="4"/>
    <n v="6"/>
  </r>
  <r>
    <n v="1156"/>
    <s v="Kabir"/>
    <x v="12"/>
    <x v="0"/>
    <x v="1"/>
    <s v="Country"/>
    <x v="8"/>
    <n v="1627"/>
    <x v="0"/>
    <n v="3"/>
  </r>
  <r>
    <n v="1157"/>
    <s v="Riya"/>
    <x v="21"/>
    <x v="0"/>
    <x v="7"/>
    <s v="Rock"/>
    <x v="3"/>
    <n v="1196"/>
    <x v="1"/>
    <n v="0"/>
  </r>
  <r>
    <n v="1158"/>
    <s v="Arjun"/>
    <x v="5"/>
    <x v="0"/>
    <x v="5"/>
    <s v="Hip-Hop"/>
    <x v="11"/>
    <n v="1150"/>
    <x v="5"/>
    <n v="7"/>
  </r>
  <r>
    <n v="1159"/>
    <s v="Dev"/>
    <x v="22"/>
    <x v="0"/>
    <x v="3"/>
    <s v="EDM"/>
    <x v="18"/>
    <n v="1483"/>
    <x v="3"/>
    <n v="5"/>
  </r>
  <r>
    <n v="1160"/>
    <s v="Raj"/>
    <x v="25"/>
    <x v="1"/>
    <x v="5"/>
    <s v="Hip-Hop"/>
    <x v="6"/>
    <n v="1090"/>
    <x v="2"/>
    <n v="0"/>
  </r>
  <r>
    <n v="1161"/>
    <s v="Kunal"/>
    <x v="12"/>
    <x v="1"/>
    <x v="3"/>
    <s v="Country"/>
    <x v="6"/>
    <n v="1148"/>
    <x v="0"/>
    <n v="1"/>
  </r>
  <r>
    <n v="1162"/>
    <s v="Neha"/>
    <x v="11"/>
    <x v="1"/>
    <x v="3"/>
    <s v="Pop"/>
    <x v="20"/>
    <n v="1980"/>
    <x v="0"/>
    <n v="0"/>
  </r>
  <r>
    <n v="1163"/>
    <s v="Ananya"/>
    <x v="10"/>
    <x v="1"/>
    <x v="6"/>
    <s v="Hip-Hop"/>
    <x v="5"/>
    <n v="853"/>
    <x v="0"/>
    <n v="1"/>
  </r>
  <r>
    <n v="1164"/>
    <s v="Raj"/>
    <x v="2"/>
    <x v="1"/>
    <x v="2"/>
    <s v="EDM"/>
    <x v="17"/>
    <n v="1174"/>
    <x v="1"/>
    <n v="10"/>
  </r>
  <r>
    <n v="1165"/>
    <s v="Priya"/>
    <x v="9"/>
    <x v="1"/>
    <x v="2"/>
    <s v="Rock"/>
    <x v="6"/>
    <n v="2223"/>
    <x v="1"/>
    <n v="5"/>
  </r>
  <r>
    <n v="1166"/>
    <s v="Aarav"/>
    <x v="2"/>
    <x v="0"/>
    <x v="2"/>
    <s v="Classical"/>
    <x v="0"/>
    <n v="2553"/>
    <x v="3"/>
    <n v="9"/>
  </r>
  <r>
    <n v="1167"/>
    <s v="Sahil"/>
    <x v="17"/>
    <x v="0"/>
    <x v="0"/>
    <s v="Hip-Hop"/>
    <x v="11"/>
    <n v="1120"/>
    <x v="4"/>
    <n v="4"/>
  </r>
  <r>
    <n v="1168"/>
    <s v="Aarav"/>
    <x v="24"/>
    <x v="1"/>
    <x v="6"/>
    <s v="Classical"/>
    <x v="18"/>
    <n v="1517"/>
    <x v="4"/>
    <n v="9"/>
  </r>
  <r>
    <n v="1169"/>
    <s v="Priya"/>
    <x v="30"/>
    <x v="1"/>
    <x v="0"/>
    <s v="Pop"/>
    <x v="1"/>
    <n v="2563"/>
    <x v="0"/>
    <n v="10"/>
  </r>
  <r>
    <n v="1170"/>
    <s v="Ananya"/>
    <x v="6"/>
    <x v="0"/>
    <x v="4"/>
    <s v="Hip-Hop"/>
    <x v="16"/>
    <n v="1889"/>
    <x v="0"/>
    <n v="5"/>
  </r>
  <r>
    <n v="1171"/>
    <s v="Pooja"/>
    <x v="15"/>
    <x v="1"/>
    <x v="2"/>
    <s v="Hip-Hop"/>
    <x v="10"/>
    <n v="675"/>
    <x v="2"/>
    <n v="2"/>
  </r>
  <r>
    <n v="1172"/>
    <s v="Meera"/>
    <x v="29"/>
    <x v="1"/>
    <x v="5"/>
    <s v="Rock"/>
    <x v="11"/>
    <n v="957"/>
    <x v="1"/>
    <n v="8"/>
  </r>
  <r>
    <n v="1173"/>
    <s v="Meera"/>
    <x v="16"/>
    <x v="1"/>
    <x v="6"/>
    <s v="Hip-Hop"/>
    <x v="6"/>
    <n v="937"/>
    <x v="4"/>
    <n v="8"/>
  </r>
  <r>
    <n v="1174"/>
    <s v="Simran"/>
    <x v="24"/>
    <x v="1"/>
    <x v="1"/>
    <s v="Jazz"/>
    <x v="13"/>
    <n v="1772"/>
    <x v="2"/>
    <n v="3"/>
  </r>
  <r>
    <n v="1175"/>
    <s v="Ananya"/>
    <x v="21"/>
    <x v="0"/>
    <x v="3"/>
    <s v="Classical"/>
    <x v="15"/>
    <n v="1031"/>
    <x v="0"/>
    <n v="4"/>
  </r>
  <r>
    <n v="1176"/>
    <s v="Tara"/>
    <x v="5"/>
    <x v="0"/>
    <x v="0"/>
    <s v="Country"/>
    <x v="18"/>
    <n v="1278"/>
    <x v="3"/>
    <n v="5"/>
  </r>
  <r>
    <n v="1177"/>
    <s v="Dev"/>
    <x v="28"/>
    <x v="1"/>
    <x v="0"/>
    <s v="Hip-Hop"/>
    <x v="4"/>
    <n v="1114"/>
    <x v="2"/>
    <n v="3"/>
  </r>
  <r>
    <n v="1178"/>
    <s v="Pooja"/>
    <x v="3"/>
    <x v="1"/>
    <x v="0"/>
    <s v="Hip-Hop"/>
    <x v="21"/>
    <n v="1773"/>
    <x v="3"/>
    <n v="5"/>
  </r>
  <r>
    <n v="1179"/>
    <s v="Kritika"/>
    <x v="9"/>
    <x v="0"/>
    <x v="1"/>
    <s v="EDM"/>
    <x v="24"/>
    <n v="2450"/>
    <x v="4"/>
    <n v="9"/>
  </r>
  <r>
    <n v="1180"/>
    <s v="Kunal"/>
    <x v="23"/>
    <x v="1"/>
    <x v="1"/>
    <s v="EDM"/>
    <x v="12"/>
    <n v="1884"/>
    <x v="0"/>
    <n v="7"/>
  </r>
  <r>
    <n v="1181"/>
    <s v="Neha"/>
    <x v="12"/>
    <x v="0"/>
    <x v="1"/>
    <s v="Pop"/>
    <x v="24"/>
    <n v="576"/>
    <x v="1"/>
    <n v="0"/>
  </r>
  <r>
    <n v="1182"/>
    <s v="Aarav"/>
    <x v="4"/>
    <x v="1"/>
    <x v="6"/>
    <s v="Jazz"/>
    <x v="25"/>
    <n v="2054"/>
    <x v="2"/>
    <n v="9"/>
  </r>
  <r>
    <n v="1183"/>
    <s v="Neha"/>
    <x v="2"/>
    <x v="0"/>
    <x v="3"/>
    <s v="Jazz"/>
    <x v="7"/>
    <n v="2304"/>
    <x v="1"/>
    <n v="1"/>
  </r>
  <r>
    <n v="1184"/>
    <s v="Sahil"/>
    <x v="24"/>
    <x v="1"/>
    <x v="3"/>
    <s v="Classical"/>
    <x v="16"/>
    <n v="1630"/>
    <x v="5"/>
    <n v="1"/>
  </r>
  <r>
    <n v="1185"/>
    <s v="Pooja"/>
    <x v="16"/>
    <x v="0"/>
    <x v="7"/>
    <s v="Country"/>
    <x v="21"/>
    <n v="1702"/>
    <x v="3"/>
    <n v="10"/>
  </r>
  <r>
    <n v="1186"/>
    <s v="Arjun"/>
    <x v="17"/>
    <x v="0"/>
    <x v="4"/>
    <s v="Hip-Hop"/>
    <x v="9"/>
    <n v="1700"/>
    <x v="5"/>
    <n v="5"/>
  </r>
  <r>
    <n v="1187"/>
    <s v="Neha"/>
    <x v="1"/>
    <x v="0"/>
    <x v="3"/>
    <s v="Rock"/>
    <x v="15"/>
    <n v="1016"/>
    <x v="5"/>
    <n v="6"/>
  </r>
  <r>
    <n v="1188"/>
    <s v="Priya"/>
    <x v="29"/>
    <x v="0"/>
    <x v="6"/>
    <s v="Jazz"/>
    <x v="19"/>
    <n v="1042"/>
    <x v="4"/>
    <n v="1"/>
  </r>
  <r>
    <n v="1189"/>
    <s v="Kritika"/>
    <x v="11"/>
    <x v="0"/>
    <x v="0"/>
    <s v="Rock"/>
    <x v="25"/>
    <n v="1969"/>
    <x v="2"/>
    <n v="10"/>
  </r>
  <r>
    <n v="1190"/>
    <s v="Simran"/>
    <x v="24"/>
    <x v="0"/>
    <x v="7"/>
    <s v="Pop"/>
    <x v="4"/>
    <n v="566"/>
    <x v="1"/>
    <n v="2"/>
  </r>
  <r>
    <n v="1191"/>
    <s v="Kabir"/>
    <x v="23"/>
    <x v="1"/>
    <x v="2"/>
    <s v="Jazz"/>
    <x v="7"/>
    <n v="1644"/>
    <x v="1"/>
    <n v="10"/>
  </r>
  <r>
    <n v="1192"/>
    <s v="Kritika"/>
    <x v="4"/>
    <x v="1"/>
    <x v="5"/>
    <s v="Pop"/>
    <x v="25"/>
    <n v="1909"/>
    <x v="0"/>
    <n v="8"/>
  </r>
  <r>
    <n v="1193"/>
    <s v="Vihaan"/>
    <x v="17"/>
    <x v="0"/>
    <x v="0"/>
    <s v="EDM"/>
    <x v="12"/>
    <n v="1709"/>
    <x v="4"/>
    <n v="10"/>
  </r>
  <r>
    <n v="1194"/>
    <s v="Arjun"/>
    <x v="7"/>
    <x v="0"/>
    <x v="4"/>
    <s v="Classical"/>
    <x v="4"/>
    <n v="2496"/>
    <x v="0"/>
    <n v="9"/>
  </r>
  <r>
    <n v="1195"/>
    <s v="Rohan"/>
    <x v="6"/>
    <x v="1"/>
    <x v="3"/>
    <s v="Pop"/>
    <x v="5"/>
    <n v="1865"/>
    <x v="3"/>
    <n v="4"/>
  </r>
  <r>
    <n v="1196"/>
    <s v="Meera"/>
    <x v="20"/>
    <x v="1"/>
    <x v="5"/>
    <s v="Pop"/>
    <x v="2"/>
    <n v="564"/>
    <x v="5"/>
    <n v="9"/>
  </r>
  <r>
    <n v="1197"/>
    <s v="Vihaan"/>
    <x v="28"/>
    <x v="0"/>
    <x v="5"/>
    <s v="Jazz"/>
    <x v="11"/>
    <n v="915"/>
    <x v="4"/>
    <n v="1"/>
  </r>
  <r>
    <n v="1198"/>
    <s v="Isha"/>
    <x v="32"/>
    <x v="1"/>
    <x v="6"/>
    <s v="Classical"/>
    <x v="22"/>
    <n v="2716"/>
    <x v="2"/>
    <n v="7"/>
  </r>
  <r>
    <n v="1199"/>
    <s v="Tara"/>
    <x v="5"/>
    <x v="0"/>
    <x v="7"/>
    <s v="Country"/>
    <x v="16"/>
    <n v="1330"/>
    <x v="5"/>
    <n v="7"/>
  </r>
  <r>
    <n v="1200"/>
    <s v="Kabir"/>
    <x v="26"/>
    <x v="0"/>
    <x v="7"/>
    <s v="Jazz"/>
    <x v="13"/>
    <n v="1440"/>
    <x v="1"/>
    <n v="9"/>
  </r>
  <r>
    <n v="1201"/>
    <s v="Raj"/>
    <x v="27"/>
    <x v="0"/>
    <x v="6"/>
    <s v="Classical"/>
    <x v="7"/>
    <n v="923"/>
    <x v="5"/>
    <n v="2"/>
  </r>
  <r>
    <n v="1202"/>
    <s v="Arjun"/>
    <x v="19"/>
    <x v="1"/>
    <x v="5"/>
    <s v="Classical"/>
    <x v="3"/>
    <n v="882"/>
    <x v="3"/>
    <n v="9"/>
  </r>
  <r>
    <n v="1203"/>
    <s v="Priya"/>
    <x v="0"/>
    <x v="1"/>
    <x v="7"/>
    <s v="Jazz"/>
    <x v="11"/>
    <n v="2193"/>
    <x v="5"/>
    <n v="3"/>
  </r>
  <r>
    <n v="1204"/>
    <s v="Aditya"/>
    <x v="23"/>
    <x v="1"/>
    <x v="2"/>
    <s v="Classical"/>
    <x v="24"/>
    <n v="1990"/>
    <x v="2"/>
    <n v="9"/>
  </r>
  <r>
    <n v="1205"/>
    <s v="Kritika"/>
    <x v="17"/>
    <x v="0"/>
    <x v="5"/>
    <s v="Rock"/>
    <x v="13"/>
    <n v="2266"/>
    <x v="4"/>
    <n v="6"/>
  </r>
  <r>
    <n v="1206"/>
    <s v="Dev"/>
    <x v="5"/>
    <x v="1"/>
    <x v="3"/>
    <s v="Country"/>
    <x v="23"/>
    <n v="2306"/>
    <x v="1"/>
    <n v="0"/>
  </r>
  <r>
    <n v="1207"/>
    <s v="Kunal"/>
    <x v="25"/>
    <x v="0"/>
    <x v="5"/>
    <s v="Hip-Hop"/>
    <x v="5"/>
    <n v="806"/>
    <x v="0"/>
    <n v="0"/>
  </r>
  <r>
    <n v="1208"/>
    <s v="Kunal"/>
    <x v="4"/>
    <x v="1"/>
    <x v="3"/>
    <s v="Classical"/>
    <x v="17"/>
    <n v="1997"/>
    <x v="5"/>
    <n v="1"/>
  </r>
  <r>
    <n v="1209"/>
    <s v="Sahil"/>
    <x v="1"/>
    <x v="1"/>
    <x v="0"/>
    <s v="Jazz"/>
    <x v="10"/>
    <n v="688"/>
    <x v="4"/>
    <n v="8"/>
  </r>
  <r>
    <n v="1210"/>
    <s v="Aarav"/>
    <x v="13"/>
    <x v="0"/>
    <x v="5"/>
    <s v="Hip-Hop"/>
    <x v="9"/>
    <n v="1842"/>
    <x v="3"/>
    <n v="7"/>
  </r>
  <r>
    <n v="1211"/>
    <s v="Sahil"/>
    <x v="21"/>
    <x v="1"/>
    <x v="5"/>
    <s v="Rock"/>
    <x v="22"/>
    <n v="2314"/>
    <x v="0"/>
    <n v="4"/>
  </r>
  <r>
    <n v="1212"/>
    <s v="Raj"/>
    <x v="32"/>
    <x v="0"/>
    <x v="5"/>
    <s v="Country"/>
    <x v="16"/>
    <n v="2606"/>
    <x v="3"/>
    <n v="6"/>
  </r>
  <r>
    <n v="1213"/>
    <s v="Aarav"/>
    <x v="32"/>
    <x v="0"/>
    <x v="7"/>
    <s v="Country"/>
    <x v="6"/>
    <n v="1447"/>
    <x v="3"/>
    <n v="4"/>
  </r>
  <r>
    <n v="1214"/>
    <s v="Riya"/>
    <x v="21"/>
    <x v="0"/>
    <x v="3"/>
    <s v="Country"/>
    <x v="25"/>
    <n v="2383"/>
    <x v="5"/>
    <n v="0"/>
  </r>
  <r>
    <n v="1215"/>
    <s v="Sahil"/>
    <x v="1"/>
    <x v="0"/>
    <x v="4"/>
    <s v="Jazz"/>
    <x v="4"/>
    <n v="2778"/>
    <x v="2"/>
    <n v="1"/>
  </r>
  <r>
    <n v="1216"/>
    <s v="Raj"/>
    <x v="26"/>
    <x v="0"/>
    <x v="6"/>
    <s v="Country"/>
    <x v="20"/>
    <n v="998"/>
    <x v="5"/>
    <n v="2"/>
  </r>
  <r>
    <n v="1217"/>
    <s v="Kabir"/>
    <x v="16"/>
    <x v="0"/>
    <x v="1"/>
    <s v="Rock"/>
    <x v="5"/>
    <n v="875"/>
    <x v="2"/>
    <n v="4"/>
  </r>
  <r>
    <n v="1218"/>
    <s v="Kritika"/>
    <x v="24"/>
    <x v="1"/>
    <x v="2"/>
    <s v="Jazz"/>
    <x v="9"/>
    <n v="2352"/>
    <x v="2"/>
    <n v="1"/>
  </r>
  <r>
    <n v="1219"/>
    <s v="Aarav"/>
    <x v="3"/>
    <x v="1"/>
    <x v="4"/>
    <s v="Pop"/>
    <x v="3"/>
    <n v="1996"/>
    <x v="0"/>
    <n v="2"/>
  </r>
  <r>
    <n v="1220"/>
    <s v="Rohan"/>
    <x v="10"/>
    <x v="0"/>
    <x v="3"/>
    <s v="Classical"/>
    <x v="20"/>
    <n v="2610"/>
    <x v="1"/>
    <n v="10"/>
  </r>
  <r>
    <n v="1221"/>
    <s v="Simran"/>
    <x v="26"/>
    <x v="0"/>
    <x v="2"/>
    <s v="Hip-Hop"/>
    <x v="16"/>
    <n v="1503"/>
    <x v="3"/>
    <n v="2"/>
  </r>
  <r>
    <n v="1222"/>
    <s v="Aarav"/>
    <x v="16"/>
    <x v="0"/>
    <x v="7"/>
    <s v="Country"/>
    <x v="8"/>
    <n v="2261"/>
    <x v="5"/>
    <n v="3"/>
  </r>
  <r>
    <n v="1223"/>
    <s v="Vihaan"/>
    <x v="15"/>
    <x v="0"/>
    <x v="0"/>
    <s v="Classical"/>
    <x v="11"/>
    <n v="2166"/>
    <x v="5"/>
    <n v="9"/>
  </r>
  <r>
    <n v="1224"/>
    <s v="Dev"/>
    <x v="32"/>
    <x v="0"/>
    <x v="6"/>
    <s v="Country"/>
    <x v="11"/>
    <n v="867"/>
    <x v="5"/>
    <n v="10"/>
  </r>
  <r>
    <n v="1225"/>
    <s v="Isha"/>
    <x v="19"/>
    <x v="0"/>
    <x v="5"/>
    <s v="Classical"/>
    <x v="8"/>
    <n v="1306"/>
    <x v="1"/>
    <n v="10"/>
  </r>
  <r>
    <n v="1226"/>
    <s v="Dev"/>
    <x v="2"/>
    <x v="0"/>
    <x v="1"/>
    <s v="Jazz"/>
    <x v="1"/>
    <n v="2614"/>
    <x v="5"/>
    <n v="5"/>
  </r>
  <r>
    <n v="1227"/>
    <s v="Simran"/>
    <x v="30"/>
    <x v="0"/>
    <x v="5"/>
    <s v="Rock"/>
    <x v="22"/>
    <n v="1926"/>
    <x v="3"/>
    <n v="8"/>
  </r>
  <r>
    <n v="1228"/>
    <s v="Aditya"/>
    <x v="8"/>
    <x v="1"/>
    <x v="1"/>
    <s v="Classical"/>
    <x v="14"/>
    <n v="1638"/>
    <x v="5"/>
    <n v="2"/>
  </r>
  <r>
    <n v="1229"/>
    <s v="Arjun"/>
    <x v="7"/>
    <x v="1"/>
    <x v="0"/>
    <s v="Classical"/>
    <x v="8"/>
    <n v="2600"/>
    <x v="5"/>
    <n v="10"/>
  </r>
  <r>
    <n v="1230"/>
    <s v="Kritika"/>
    <x v="12"/>
    <x v="1"/>
    <x v="7"/>
    <s v="Hip-Hop"/>
    <x v="14"/>
    <n v="2763"/>
    <x v="2"/>
    <n v="0"/>
  </r>
  <r>
    <n v="1231"/>
    <s v="Priya"/>
    <x v="11"/>
    <x v="1"/>
    <x v="5"/>
    <s v="Classical"/>
    <x v="24"/>
    <n v="1732"/>
    <x v="1"/>
    <n v="0"/>
  </r>
  <r>
    <n v="1232"/>
    <s v="Sahil"/>
    <x v="22"/>
    <x v="0"/>
    <x v="3"/>
    <s v="Pop"/>
    <x v="23"/>
    <n v="1931"/>
    <x v="0"/>
    <n v="3"/>
  </r>
  <r>
    <n v="1233"/>
    <s v="Priya"/>
    <x v="32"/>
    <x v="1"/>
    <x v="0"/>
    <s v="Rock"/>
    <x v="6"/>
    <n v="2543"/>
    <x v="1"/>
    <n v="10"/>
  </r>
  <r>
    <n v="1234"/>
    <s v="Kabir"/>
    <x v="2"/>
    <x v="1"/>
    <x v="6"/>
    <s v="Pop"/>
    <x v="0"/>
    <n v="1914"/>
    <x v="1"/>
    <n v="8"/>
  </r>
  <r>
    <n v="1235"/>
    <s v="Neha"/>
    <x v="14"/>
    <x v="0"/>
    <x v="6"/>
    <s v="Rock"/>
    <x v="3"/>
    <n v="1000"/>
    <x v="2"/>
    <n v="1"/>
  </r>
  <r>
    <n v="1236"/>
    <s v="Aarav"/>
    <x v="6"/>
    <x v="0"/>
    <x v="5"/>
    <s v="Rock"/>
    <x v="13"/>
    <n v="976"/>
    <x v="4"/>
    <n v="3"/>
  </r>
  <r>
    <n v="1237"/>
    <s v="Sahil"/>
    <x v="4"/>
    <x v="1"/>
    <x v="2"/>
    <s v="Pop"/>
    <x v="11"/>
    <n v="2378"/>
    <x v="0"/>
    <n v="3"/>
  </r>
  <r>
    <n v="1238"/>
    <s v="Meera"/>
    <x v="25"/>
    <x v="0"/>
    <x v="7"/>
    <s v="Rock"/>
    <x v="10"/>
    <n v="2365"/>
    <x v="3"/>
    <n v="8"/>
  </r>
  <r>
    <n v="1239"/>
    <s v="Kritika"/>
    <x v="31"/>
    <x v="0"/>
    <x v="0"/>
    <s v="Jazz"/>
    <x v="21"/>
    <n v="1624"/>
    <x v="4"/>
    <n v="9"/>
  </r>
  <r>
    <n v="1240"/>
    <s v="Neha"/>
    <x v="26"/>
    <x v="1"/>
    <x v="1"/>
    <s v="Rock"/>
    <x v="20"/>
    <n v="1853"/>
    <x v="2"/>
    <n v="8"/>
  </r>
  <r>
    <n v="1241"/>
    <s v="Simran"/>
    <x v="10"/>
    <x v="1"/>
    <x v="1"/>
    <s v="Rock"/>
    <x v="15"/>
    <n v="2040"/>
    <x v="4"/>
    <n v="0"/>
  </r>
  <r>
    <n v="1242"/>
    <s v="Pooja"/>
    <x v="14"/>
    <x v="1"/>
    <x v="6"/>
    <s v="Classical"/>
    <x v="7"/>
    <n v="2417"/>
    <x v="1"/>
    <n v="5"/>
  </r>
  <r>
    <n v="1243"/>
    <s v="Isha"/>
    <x v="28"/>
    <x v="0"/>
    <x v="3"/>
    <s v="Rock"/>
    <x v="1"/>
    <n v="2485"/>
    <x v="1"/>
    <n v="9"/>
  </r>
  <r>
    <n v="1244"/>
    <s v="Vihaan"/>
    <x v="3"/>
    <x v="1"/>
    <x v="4"/>
    <s v="Country"/>
    <x v="12"/>
    <n v="865"/>
    <x v="0"/>
    <n v="5"/>
  </r>
  <r>
    <n v="1245"/>
    <s v="Pooja"/>
    <x v="25"/>
    <x v="0"/>
    <x v="1"/>
    <s v="EDM"/>
    <x v="4"/>
    <n v="1832"/>
    <x v="1"/>
    <n v="3"/>
  </r>
  <r>
    <n v="1246"/>
    <s v="Neha"/>
    <x v="16"/>
    <x v="1"/>
    <x v="3"/>
    <s v="Pop"/>
    <x v="22"/>
    <n v="1826"/>
    <x v="5"/>
    <n v="2"/>
  </r>
  <r>
    <n v="1247"/>
    <s v="Dev"/>
    <x v="18"/>
    <x v="0"/>
    <x v="7"/>
    <s v="EDM"/>
    <x v="1"/>
    <n v="507"/>
    <x v="5"/>
    <n v="3"/>
  </r>
  <r>
    <n v="1248"/>
    <s v="Rohan"/>
    <x v="24"/>
    <x v="0"/>
    <x v="3"/>
    <s v="Country"/>
    <x v="16"/>
    <n v="2306"/>
    <x v="0"/>
    <n v="1"/>
  </r>
  <r>
    <n v="1249"/>
    <s v="Kritika"/>
    <x v="9"/>
    <x v="1"/>
    <x v="1"/>
    <s v="Hip-Hop"/>
    <x v="16"/>
    <n v="2186"/>
    <x v="1"/>
    <n v="3"/>
  </r>
  <r>
    <n v="1250"/>
    <s v="Kabir"/>
    <x v="23"/>
    <x v="0"/>
    <x v="1"/>
    <s v="Jazz"/>
    <x v="23"/>
    <n v="2054"/>
    <x v="3"/>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87D157-693F-4B6D-BD04-EE1C385169D0}"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ge">
  <location ref="A4:D6" firstHeaderRow="0" firstDataRow="1" firstDataCol="1"/>
  <pivotFields count="10">
    <pivotField showAll="0"/>
    <pivotField showAll="0"/>
    <pivotField axis="axisRow" showAll="0">
      <items count="7">
        <item h="1" x="0"/>
        <item h="1" x="1"/>
        <item x="2"/>
        <item h="1" x="3"/>
        <item h="1" x="4"/>
        <item h="1" x="5"/>
        <item t="default"/>
      </items>
    </pivotField>
    <pivotField showAll="0">
      <items count="3">
        <item x="1"/>
        <item x="0"/>
        <item t="default"/>
      </items>
    </pivotField>
    <pivotField showAll="0"/>
    <pivotField showAll="0"/>
    <pivotField dataField="1" showAll="0"/>
    <pivotField dataField="1" showAll="0"/>
    <pivotField showAll="0"/>
    <pivotField dataField="1" showAll="0"/>
  </pivotFields>
  <rowFields count="1">
    <field x="2"/>
  </rowFields>
  <rowItems count="2">
    <i>
      <x v="2"/>
    </i>
    <i t="grand">
      <x/>
    </i>
  </rowItems>
  <colFields count="1">
    <field x="-2"/>
  </colFields>
  <colItems count="3">
    <i>
      <x/>
    </i>
    <i i="1">
      <x v="1"/>
    </i>
    <i i="2">
      <x v="2"/>
    </i>
  </colItems>
  <dataFields count="3">
    <dataField name=" Streaming_Hours_per_Week" fld="6" subtotal="average" baseField="2" baseItem="1"/>
    <dataField name=" Monthly_Entertainment_Spend" fld="7" subtotal="average" baseField="2" baseItem="1"/>
    <dataField name=" Event_Attendance_per_Year" fld="9" subtotal="average" baseField="2" baseItem="1"/>
  </dataFields>
  <chartFormats count="7">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 chart="6" format="9">
      <pivotArea type="data" outline="0" fieldPosition="0">
        <references count="2">
          <reference field="4294967294" count="1" selected="0">
            <x v="1"/>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216108-37A5-47D8-A023-05E6795FEC4C}" name="PivotTable1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 Groups">
  <location ref="A91:B96" firstHeaderRow="1" firstDataRow="1" firstDataCol="1"/>
  <pivotFields count="10">
    <pivotField showAll="0"/>
    <pivotField showAll="0"/>
    <pivotField axis="axisRow" showAll="0">
      <items count="7">
        <item x="0"/>
        <item x="1"/>
        <item x="2"/>
        <item x="3"/>
        <item x="4"/>
        <item x="5"/>
        <item t="default"/>
      </items>
    </pivotField>
    <pivotField showAll="0">
      <items count="3">
        <item x="1"/>
        <item h="1" x="0"/>
        <item t="default"/>
      </items>
    </pivotField>
    <pivotField showAll="0"/>
    <pivotField showAll="0"/>
    <pivotField showAll="0"/>
    <pivotField dataField="1" showAll="0"/>
    <pivotField showAll="0"/>
    <pivotField showAll="0"/>
  </pivotFields>
  <rowFields count="1">
    <field x="2"/>
  </rowFields>
  <rowItems count="5">
    <i>
      <x v="1"/>
    </i>
    <i>
      <x v="2"/>
    </i>
    <i>
      <x v="3"/>
    </i>
    <i>
      <x v="4"/>
    </i>
    <i t="grand">
      <x/>
    </i>
  </rowItems>
  <colItems count="1">
    <i/>
  </colItems>
  <dataFields count="1">
    <dataField name=" Monthly_Entertainment_Spend" fld="7" baseField="2" baseItem="2"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0AC931-94A1-439C-9BB6-990504775CC6}" name="PivotTable1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Entertainment Platforms" colHeaderCaption="Gender">
  <location ref="A49:D57" firstHeaderRow="1" firstDataRow="2" firstDataCol="1"/>
  <pivotFields count="10">
    <pivotField showAll="0"/>
    <pivotField showAll="0"/>
    <pivotField showAll="0"/>
    <pivotField axis="axisCol" dataField="1" showAll="0">
      <items count="3">
        <item x="1"/>
        <item x="0"/>
        <item t="default"/>
      </items>
    </pivotField>
    <pivotField showAll="0"/>
    <pivotField showAll="0"/>
    <pivotField showAll="0"/>
    <pivotField showAll="0"/>
    <pivotField axis="axisRow" showAll="0">
      <items count="7">
        <item x="2"/>
        <item x="1"/>
        <item x="0"/>
        <item x="4"/>
        <item x="3"/>
        <item x="5"/>
        <item t="default"/>
      </items>
    </pivotField>
    <pivotField showAll="0"/>
  </pivotFields>
  <rowFields count="1">
    <field x="8"/>
  </rowFields>
  <rowItems count="7">
    <i>
      <x/>
    </i>
    <i>
      <x v="1"/>
    </i>
    <i>
      <x v="2"/>
    </i>
    <i>
      <x v="3"/>
    </i>
    <i>
      <x v="4"/>
    </i>
    <i>
      <x v="5"/>
    </i>
    <i t="grand">
      <x/>
    </i>
  </rowItems>
  <colFields count="1">
    <field x="3"/>
  </colFields>
  <colItems count="3">
    <i>
      <x/>
    </i>
    <i>
      <x v="1"/>
    </i>
    <i t="grand">
      <x/>
    </i>
  </colItems>
  <dataFields count="1">
    <dataField name="Count of Gender" fld="3" subtotal="count" baseField="0" baseItem="0"/>
  </dataFields>
  <chartFormats count="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5CBCD0-1829-4411-8F7F-B558BE9C2770}" name="PivotTable2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45:H349" firstHeaderRow="1" firstDataRow="2" firstDataCol="1"/>
  <pivotFields count="10">
    <pivotField showAll="0"/>
    <pivotField showAll="0"/>
    <pivotField showAll="0">
      <items count="7">
        <item x="0"/>
        <item x="1"/>
        <item x="2"/>
        <item x="3"/>
        <item x="4"/>
        <item x="5"/>
        <item t="default"/>
      </items>
    </pivotField>
    <pivotField axis="axisRow" showAll="0">
      <items count="3">
        <item x="1"/>
        <item x="0"/>
        <item t="default"/>
      </items>
    </pivotField>
    <pivotField showAll="0"/>
    <pivotField showAll="0"/>
    <pivotField showAll="0"/>
    <pivotField showAll="0"/>
    <pivotField axis="axisCol" dataField="1" showAll="0">
      <items count="7">
        <item x="2"/>
        <item x="1"/>
        <item x="0"/>
        <item x="4"/>
        <item x="3"/>
        <item x="5"/>
        <item t="default"/>
      </items>
    </pivotField>
    <pivotField showAll="0"/>
  </pivotFields>
  <rowFields count="1">
    <field x="3"/>
  </rowFields>
  <rowItems count="3">
    <i>
      <x/>
    </i>
    <i>
      <x v="1"/>
    </i>
    <i t="grand">
      <x/>
    </i>
  </rowItems>
  <colFields count="1">
    <field x="8"/>
  </colFields>
  <colItems count="7">
    <i>
      <x/>
    </i>
    <i>
      <x v="1"/>
    </i>
    <i>
      <x v="2"/>
    </i>
    <i>
      <x v="3"/>
    </i>
    <i>
      <x v="4"/>
    </i>
    <i>
      <x v="5"/>
    </i>
    <i t="grand">
      <x/>
    </i>
  </colItems>
  <dataFields count="1">
    <dataField name="Count of Preferred_Platform" fld="8" subtotal="count" baseField="0" baseItem="0"/>
  </dataFields>
  <chartFormats count="12">
    <chartFormat chart="11" format="12" series="1">
      <pivotArea type="data" outline="0" fieldPosition="0">
        <references count="2">
          <reference field="4294967294" count="1" selected="0">
            <x v="0"/>
          </reference>
          <reference field="8" count="1" selected="0">
            <x v="0"/>
          </reference>
        </references>
      </pivotArea>
    </chartFormat>
    <chartFormat chart="11" format="13" series="1">
      <pivotArea type="data" outline="0" fieldPosition="0">
        <references count="2">
          <reference field="4294967294" count="1" selected="0">
            <x v="0"/>
          </reference>
          <reference field="8" count="1" selected="0">
            <x v="1"/>
          </reference>
        </references>
      </pivotArea>
    </chartFormat>
    <chartFormat chart="11" format="14" series="1">
      <pivotArea type="data" outline="0" fieldPosition="0">
        <references count="2">
          <reference field="4294967294" count="1" selected="0">
            <x v="0"/>
          </reference>
          <reference field="8" count="1" selected="0">
            <x v="2"/>
          </reference>
        </references>
      </pivotArea>
    </chartFormat>
    <chartFormat chart="11" format="15" series="1">
      <pivotArea type="data" outline="0" fieldPosition="0">
        <references count="2">
          <reference field="4294967294" count="1" selected="0">
            <x v="0"/>
          </reference>
          <reference field="8" count="1" selected="0">
            <x v="3"/>
          </reference>
        </references>
      </pivotArea>
    </chartFormat>
    <chartFormat chart="11" format="16" series="1">
      <pivotArea type="data" outline="0" fieldPosition="0">
        <references count="2">
          <reference field="4294967294" count="1" selected="0">
            <x v="0"/>
          </reference>
          <reference field="8" count="1" selected="0">
            <x v="4"/>
          </reference>
        </references>
      </pivotArea>
    </chartFormat>
    <chartFormat chart="11" format="17" series="1">
      <pivotArea type="data" outline="0" fieldPosition="0">
        <references count="2">
          <reference field="4294967294" count="1" selected="0">
            <x v="0"/>
          </reference>
          <reference field="8" count="1" selected="0">
            <x v="5"/>
          </reference>
        </references>
      </pivotArea>
    </chartFormat>
    <chartFormat chart="13" format="24" series="1">
      <pivotArea type="data" outline="0" fieldPosition="0">
        <references count="2">
          <reference field="4294967294" count="1" selected="0">
            <x v="0"/>
          </reference>
          <reference field="8" count="1" selected="0">
            <x v="0"/>
          </reference>
        </references>
      </pivotArea>
    </chartFormat>
    <chartFormat chart="13" format="25" series="1">
      <pivotArea type="data" outline="0" fieldPosition="0">
        <references count="2">
          <reference field="4294967294" count="1" selected="0">
            <x v="0"/>
          </reference>
          <reference field="8" count="1" selected="0">
            <x v="1"/>
          </reference>
        </references>
      </pivotArea>
    </chartFormat>
    <chartFormat chart="13" format="26" series="1">
      <pivotArea type="data" outline="0" fieldPosition="0">
        <references count="2">
          <reference field="4294967294" count="1" selected="0">
            <x v="0"/>
          </reference>
          <reference field="8" count="1" selected="0">
            <x v="2"/>
          </reference>
        </references>
      </pivotArea>
    </chartFormat>
    <chartFormat chart="13" format="27" series="1">
      <pivotArea type="data" outline="0" fieldPosition="0">
        <references count="2">
          <reference field="4294967294" count="1" selected="0">
            <x v="0"/>
          </reference>
          <reference field="8" count="1" selected="0">
            <x v="3"/>
          </reference>
        </references>
      </pivotArea>
    </chartFormat>
    <chartFormat chart="13" format="28" series="1">
      <pivotArea type="data" outline="0" fieldPosition="0">
        <references count="2">
          <reference field="4294967294" count="1" selected="0">
            <x v="0"/>
          </reference>
          <reference field="8" count="1" selected="0">
            <x v="4"/>
          </reference>
        </references>
      </pivotArea>
    </chartFormat>
    <chartFormat chart="13" format="29" series="1">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1FE21D-BACB-4EC4-86D8-8031794AA84D}" name="PivotTable2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227:B232" firstHeaderRow="1" firstDataRow="1" firstDataCol="1"/>
  <pivotFields count="10">
    <pivotField showAll="0"/>
    <pivotField showAll="0"/>
    <pivotField axis="axisRow" showAll="0">
      <items count="7">
        <item x="0"/>
        <item x="1"/>
        <item x="2"/>
        <item x="3"/>
        <item x="4"/>
        <item x="5"/>
        <item t="default"/>
      </items>
    </pivotField>
    <pivotField showAll="0">
      <items count="3">
        <item x="1"/>
        <item x="0"/>
        <item t="default"/>
      </items>
    </pivotField>
    <pivotField showAll="0"/>
    <pivotField showAll="0"/>
    <pivotField showAll="0"/>
    <pivotField showAll="0"/>
    <pivotField showAll="0"/>
    <pivotField dataField="1" showAll="0"/>
  </pivotFields>
  <rowFields count="1">
    <field x="2"/>
  </rowFields>
  <rowItems count="5">
    <i>
      <x v="1"/>
    </i>
    <i>
      <x v="2"/>
    </i>
    <i>
      <x v="3"/>
    </i>
    <i>
      <x v="4"/>
    </i>
    <i t="grand">
      <x/>
    </i>
  </rowItems>
  <colItems count="1">
    <i/>
  </colItems>
  <dataFields count="1">
    <dataField name="Sum of Event_Attendance_per_Year" fld="9" baseField="0" baseItem="0"/>
  </dataFields>
  <chartFormats count="2">
    <chartFormat chart="17" format="3"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A3B4F4-87BE-450C-8F27-A33601B79D73}" name="PivotTable2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16:B319" firstHeaderRow="1" firstDataRow="1" firstDataCol="1"/>
  <pivotFields count="10">
    <pivotField showAll="0"/>
    <pivotField showAll="0"/>
    <pivotField showAll="0"/>
    <pivotField axis="axisRow" showAll="0">
      <items count="3">
        <item x="1"/>
        <item x="0"/>
        <item t="default"/>
      </items>
    </pivotField>
    <pivotField showAll="0"/>
    <pivotField dataField="1" showAll="0"/>
    <pivotField showAll="0"/>
    <pivotField showAll="0"/>
    <pivotField showAll="0"/>
    <pivotField showAll="0"/>
  </pivotFields>
  <rowFields count="1">
    <field x="3"/>
  </rowFields>
  <rowItems count="3">
    <i>
      <x/>
    </i>
    <i>
      <x v="1"/>
    </i>
    <i t="grand">
      <x/>
    </i>
  </rowItems>
  <colItems count="1">
    <i/>
  </colItems>
  <dataFields count="1">
    <dataField name="Count of Favorite_Music_Genre" fld="5" subtotal="count" baseField="0" baseItem="0"/>
  </dataFields>
  <chartFormats count="6">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0"/>
          </reference>
        </references>
      </pivotArea>
    </chartFormat>
    <chartFormat chart="5" format="6">
      <pivotArea type="data" outline="0" fieldPosition="0">
        <references count="2">
          <reference field="4294967294" count="1" selected="0">
            <x v="0"/>
          </reference>
          <reference field="3"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3" count="1" selected="0">
            <x v="0"/>
          </reference>
        </references>
      </pivotArea>
    </chartFormat>
    <chartFormat chart="7" format="1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70A21C-DE44-47A1-97F5-F280584B51FB}" name="PivotTable1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28:B133" firstHeaderRow="1" firstDataRow="1" firstDataCol="1"/>
  <pivotFields count="10">
    <pivotField showAll="0"/>
    <pivotField showAll="0"/>
    <pivotField axis="axisRow" showAll="0">
      <items count="7">
        <item x="0"/>
        <item x="1"/>
        <item x="2"/>
        <item x="3"/>
        <item x="4"/>
        <item x="5"/>
        <item t="default"/>
      </items>
    </pivotField>
    <pivotField showAll="0"/>
    <pivotField showAll="0"/>
    <pivotField showAll="0"/>
    <pivotField showAll="0"/>
    <pivotField dataField="1" showAll="0"/>
    <pivotField showAll="0"/>
    <pivotField showAll="0"/>
  </pivotFields>
  <rowFields count="1">
    <field x="2"/>
  </rowFields>
  <rowItems count="5">
    <i>
      <x v="1"/>
    </i>
    <i>
      <x v="2"/>
    </i>
    <i>
      <x v="3"/>
    </i>
    <i>
      <x v="4"/>
    </i>
    <i t="grand">
      <x/>
    </i>
  </rowItems>
  <colItems count="1">
    <i/>
  </colItems>
  <dataFields count="1">
    <dataField name="Average of Monthly_Entertainment_Spend" fld="7" subtotal="average" baseField="2" baseItem="1"/>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30EA1B-0FC7-4DD9-A11F-C1BD6254207E}" name="PivotTable1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vie Genres">
  <location ref="A17:D20" firstHeaderRow="1" firstDataRow="2" firstDataCol="1"/>
  <pivotFields count="10">
    <pivotField showAll="0"/>
    <pivotField showAll="0"/>
    <pivotField showAll="0"/>
    <pivotField axis="axisCol" showAll="0">
      <items count="3">
        <item x="1"/>
        <item x="0"/>
        <item t="default"/>
      </items>
    </pivotField>
    <pivotField axis="axisRow" dataField="1" showAll="0">
      <items count="9">
        <item h="1" x="1"/>
        <item h="1" x="4"/>
        <item h="1" x="0"/>
        <item h="1" x="5"/>
        <item x="6"/>
        <item h="1" x="7"/>
        <item h="1" x="2"/>
        <item h="1" x="3"/>
        <item t="default"/>
      </items>
    </pivotField>
    <pivotField showAll="0"/>
    <pivotField showAll="0"/>
    <pivotField showAll="0"/>
    <pivotField showAll="0"/>
    <pivotField showAll="0"/>
  </pivotFields>
  <rowFields count="1">
    <field x="4"/>
  </rowFields>
  <rowItems count="2">
    <i>
      <x v="4"/>
    </i>
    <i t="grand">
      <x/>
    </i>
  </rowItems>
  <colFields count="1">
    <field x="3"/>
  </colFields>
  <colItems count="3">
    <i>
      <x/>
    </i>
    <i>
      <x v="1"/>
    </i>
    <i t="grand">
      <x/>
    </i>
  </colItems>
  <dataFields count="1">
    <dataField name="Count of Favorite_Movie_Genre" fld="4" subtotal="count" baseField="0"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9055AA-54B2-4F66-88D5-8A97B0E9D96D}" name="PivotTable2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56:B259" firstHeaderRow="1" firstDataRow="1" firstDataCol="1"/>
  <pivotFields count="10">
    <pivotField showAll="0"/>
    <pivotField showAll="0"/>
    <pivotField showAll="0"/>
    <pivotField axis="axisRow" showAll="0">
      <items count="3">
        <item x="1"/>
        <item x="0"/>
        <item t="default"/>
      </items>
    </pivotField>
    <pivotField showAll="0"/>
    <pivotField showAll="0"/>
    <pivotField showAll="0"/>
    <pivotField showAll="0"/>
    <pivotField showAll="0"/>
    <pivotField dataField="1" showAll="0"/>
  </pivotFields>
  <rowFields count="1">
    <field x="3"/>
  </rowFields>
  <rowItems count="3">
    <i>
      <x/>
    </i>
    <i>
      <x v="1"/>
    </i>
    <i t="grand">
      <x/>
    </i>
  </rowItems>
  <colItems count="1">
    <i/>
  </colItems>
  <dataFields count="1">
    <dataField name="Sum of Event_Attendance_per_Year" fld="9" baseField="0" baseItem="0"/>
  </dataFields>
  <chartFormats count="6">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3" count="1" selected="0">
            <x v="0"/>
          </reference>
        </references>
      </pivotArea>
    </chartFormat>
    <chartFormat chart="15" format="6">
      <pivotArea type="data" outline="0" fieldPosition="0">
        <references count="2">
          <reference field="4294967294" count="1" selected="0">
            <x v="0"/>
          </reference>
          <reference field="3" count="1" selected="0">
            <x v="1"/>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3" count="1" selected="0">
            <x v="0"/>
          </reference>
        </references>
      </pivotArea>
    </chartFormat>
    <chartFormat chart="17" format="1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54BDAE-C513-4DA1-BBD7-88C5C9E946AE}" name="PivotTable1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65:C171" firstHeaderRow="1" firstDataRow="2" firstDataCol="1"/>
  <pivotFields count="10">
    <pivotField showAll="0"/>
    <pivotField showAll="0"/>
    <pivotField axis="axisRow" showAll="0">
      <items count="7">
        <item x="0"/>
        <item x="1"/>
        <item x="2"/>
        <item x="3"/>
        <item x="4"/>
        <item x="5"/>
        <item t="default"/>
      </items>
    </pivotField>
    <pivotField showAll="0"/>
    <pivotField showAll="0"/>
    <pivotField showAll="0"/>
    <pivotField showAll="0"/>
    <pivotField showAll="0"/>
    <pivotField axis="axisCol" dataField="1" showAll="0">
      <items count="7">
        <item h="1" x="2"/>
        <item h="1" x="1"/>
        <item h="1" x="0"/>
        <item h="1" x="4"/>
        <item x="3"/>
        <item h="1" x="5"/>
        <item t="default"/>
      </items>
    </pivotField>
    <pivotField showAll="0"/>
  </pivotFields>
  <rowFields count="1">
    <field x="2"/>
  </rowFields>
  <rowItems count="5">
    <i>
      <x v="1"/>
    </i>
    <i>
      <x v="2"/>
    </i>
    <i>
      <x v="3"/>
    </i>
    <i>
      <x v="4"/>
    </i>
    <i t="grand">
      <x/>
    </i>
  </rowItems>
  <colFields count="1">
    <field x="8"/>
  </colFields>
  <colItems count="2">
    <i>
      <x v="4"/>
    </i>
    <i t="grand">
      <x/>
    </i>
  </colItems>
  <dataFields count="1">
    <dataField name="Count of Preferred_Platform" fld="8" subtotal="count" baseField="0" baseItem="0"/>
  </dataFields>
  <chartFormats count="120">
    <chartFormat chart="6" format="36" series="1">
      <pivotArea type="data" outline="0" fieldPosition="0">
        <references count="2">
          <reference field="4294967294" count="1" selected="0">
            <x v="0"/>
          </reference>
          <reference field="8" count="1" selected="0">
            <x v="0"/>
          </reference>
        </references>
      </pivotArea>
    </chartFormat>
    <chartFormat chart="6" format="37">
      <pivotArea type="data" outline="0" fieldPosition="0">
        <references count="3">
          <reference field="4294967294" count="1" selected="0">
            <x v="0"/>
          </reference>
          <reference field="2" count="1" selected="0">
            <x v="1"/>
          </reference>
          <reference field="8" count="1" selected="0">
            <x v="0"/>
          </reference>
        </references>
      </pivotArea>
    </chartFormat>
    <chartFormat chart="6" format="38">
      <pivotArea type="data" outline="0" fieldPosition="0">
        <references count="3">
          <reference field="4294967294" count="1" selected="0">
            <x v="0"/>
          </reference>
          <reference field="2" count="1" selected="0">
            <x v="2"/>
          </reference>
          <reference field="8" count="1" selected="0">
            <x v="0"/>
          </reference>
        </references>
      </pivotArea>
    </chartFormat>
    <chartFormat chart="6" format="39">
      <pivotArea type="data" outline="0" fieldPosition="0">
        <references count="3">
          <reference field="4294967294" count="1" selected="0">
            <x v="0"/>
          </reference>
          <reference field="2" count="1" selected="0">
            <x v="3"/>
          </reference>
          <reference field="8" count="1" selected="0">
            <x v="0"/>
          </reference>
        </references>
      </pivotArea>
    </chartFormat>
    <chartFormat chart="6" format="40">
      <pivotArea type="data" outline="0" fieldPosition="0">
        <references count="3">
          <reference field="4294967294" count="1" selected="0">
            <x v="0"/>
          </reference>
          <reference field="2" count="1" selected="0">
            <x v="4"/>
          </reference>
          <reference field="8" count="1" selected="0">
            <x v="0"/>
          </reference>
        </references>
      </pivotArea>
    </chartFormat>
    <chartFormat chart="6" format="41" series="1">
      <pivotArea type="data" outline="0" fieldPosition="0">
        <references count="2">
          <reference field="4294967294" count="1" selected="0">
            <x v="0"/>
          </reference>
          <reference field="8" count="1" selected="0">
            <x v="1"/>
          </reference>
        </references>
      </pivotArea>
    </chartFormat>
    <chartFormat chart="6" format="42">
      <pivotArea type="data" outline="0" fieldPosition="0">
        <references count="3">
          <reference field="4294967294" count="1" selected="0">
            <x v="0"/>
          </reference>
          <reference field="2" count="1" selected="0">
            <x v="1"/>
          </reference>
          <reference field="8" count="1" selected="0">
            <x v="1"/>
          </reference>
        </references>
      </pivotArea>
    </chartFormat>
    <chartFormat chart="6" format="43">
      <pivotArea type="data" outline="0" fieldPosition="0">
        <references count="3">
          <reference field="4294967294" count="1" selected="0">
            <x v="0"/>
          </reference>
          <reference field="2" count="1" selected="0">
            <x v="2"/>
          </reference>
          <reference field="8" count="1" selected="0">
            <x v="1"/>
          </reference>
        </references>
      </pivotArea>
    </chartFormat>
    <chartFormat chart="6" format="44">
      <pivotArea type="data" outline="0" fieldPosition="0">
        <references count="3">
          <reference field="4294967294" count="1" selected="0">
            <x v="0"/>
          </reference>
          <reference field="2" count="1" selected="0">
            <x v="3"/>
          </reference>
          <reference field="8" count="1" selected="0">
            <x v="1"/>
          </reference>
        </references>
      </pivotArea>
    </chartFormat>
    <chartFormat chart="6" format="45">
      <pivotArea type="data" outline="0" fieldPosition="0">
        <references count="3">
          <reference field="4294967294" count="1" selected="0">
            <x v="0"/>
          </reference>
          <reference field="2" count="1" selected="0">
            <x v="4"/>
          </reference>
          <reference field="8" count="1" selected="0">
            <x v="1"/>
          </reference>
        </references>
      </pivotArea>
    </chartFormat>
    <chartFormat chart="6" format="46" series="1">
      <pivotArea type="data" outline="0" fieldPosition="0">
        <references count="2">
          <reference field="4294967294" count="1" selected="0">
            <x v="0"/>
          </reference>
          <reference field="8" count="1" selected="0">
            <x v="2"/>
          </reference>
        </references>
      </pivotArea>
    </chartFormat>
    <chartFormat chart="6" format="47">
      <pivotArea type="data" outline="0" fieldPosition="0">
        <references count="3">
          <reference field="4294967294" count="1" selected="0">
            <x v="0"/>
          </reference>
          <reference field="2" count="1" selected="0">
            <x v="1"/>
          </reference>
          <reference field="8" count="1" selected="0">
            <x v="2"/>
          </reference>
        </references>
      </pivotArea>
    </chartFormat>
    <chartFormat chart="6" format="48">
      <pivotArea type="data" outline="0" fieldPosition="0">
        <references count="3">
          <reference field="4294967294" count="1" selected="0">
            <x v="0"/>
          </reference>
          <reference field="2" count="1" selected="0">
            <x v="2"/>
          </reference>
          <reference field="8" count="1" selected="0">
            <x v="2"/>
          </reference>
        </references>
      </pivotArea>
    </chartFormat>
    <chartFormat chart="6" format="49">
      <pivotArea type="data" outline="0" fieldPosition="0">
        <references count="3">
          <reference field="4294967294" count="1" selected="0">
            <x v="0"/>
          </reference>
          <reference field="2" count="1" selected="0">
            <x v="3"/>
          </reference>
          <reference field="8" count="1" selected="0">
            <x v="2"/>
          </reference>
        </references>
      </pivotArea>
    </chartFormat>
    <chartFormat chart="6" format="50">
      <pivotArea type="data" outline="0" fieldPosition="0">
        <references count="3">
          <reference field="4294967294" count="1" selected="0">
            <x v="0"/>
          </reference>
          <reference field="2" count="1" selected="0">
            <x v="4"/>
          </reference>
          <reference field="8" count="1" selected="0">
            <x v="2"/>
          </reference>
        </references>
      </pivotArea>
    </chartFormat>
    <chartFormat chart="6" format="51" series="1">
      <pivotArea type="data" outline="0" fieldPosition="0">
        <references count="2">
          <reference field="4294967294" count="1" selected="0">
            <x v="0"/>
          </reference>
          <reference field="8" count="1" selected="0">
            <x v="3"/>
          </reference>
        </references>
      </pivotArea>
    </chartFormat>
    <chartFormat chart="6" format="52">
      <pivotArea type="data" outline="0" fieldPosition="0">
        <references count="3">
          <reference field="4294967294" count="1" selected="0">
            <x v="0"/>
          </reference>
          <reference field="2" count="1" selected="0">
            <x v="1"/>
          </reference>
          <reference field="8" count="1" selected="0">
            <x v="3"/>
          </reference>
        </references>
      </pivotArea>
    </chartFormat>
    <chartFormat chart="6" format="53">
      <pivotArea type="data" outline="0" fieldPosition="0">
        <references count="3">
          <reference field="4294967294" count="1" selected="0">
            <x v="0"/>
          </reference>
          <reference field="2" count="1" selected="0">
            <x v="2"/>
          </reference>
          <reference field="8" count="1" selected="0">
            <x v="3"/>
          </reference>
        </references>
      </pivotArea>
    </chartFormat>
    <chartFormat chart="6" format="54">
      <pivotArea type="data" outline="0" fieldPosition="0">
        <references count="3">
          <reference field="4294967294" count="1" selected="0">
            <x v="0"/>
          </reference>
          <reference field="2" count="1" selected="0">
            <x v="3"/>
          </reference>
          <reference field="8" count="1" selected="0">
            <x v="3"/>
          </reference>
        </references>
      </pivotArea>
    </chartFormat>
    <chartFormat chart="6" format="55">
      <pivotArea type="data" outline="0" fieldPosition="0">
        <references count="3">
          <reference field="4294967294" count="1" selected="0">
            <x v="0"/>
          </reference>
          <reference field="2" count="1" selected="0">
            <x v="4"/>
          </reference>
          <reference field="8" count="1" selected="0">
            <x v="3"/>
          </reference>
        </references>
      </pivotArea>
    </chartFormat>
    <chartFormat chart="6" format="56" series="1">
      <pivotArea type="data" outline="0" fieldPosition="0">
        <references count="2">
          <reference field="4294967294" count="1" selected="0">
            <x v="0"/>
          </reference>
          <reference field="8" count="1" selected="0">
            <x v="4"/>
          </reference>
        </references>
      </pivotArea>
    </chartFormat>
    <chartFormat chart="6" format="57">
      <pivotArea type="data" outline="0" fieldPosition="0">
        <references count="3">
          <reference field="4294967294" count="1" selected="0">
            <x v="0"/>
          </reference>
          <reference field="2" count="1" selected="0">
            <x v="1"/>
          </reference>
          <reference field="8" count="1" selected="0">
            <x v="4"/>
          </reference>
        </references>
      </pivotArea>
    </chartFormat>
    <chartFormat chart="6" format="58">
      <pivotArea type="data" outline="0" fieldPosition="0">
        <references count="3">
          <reference field="4294967294" count="1" selected="0">
            <x v="0"/>
          </reference>
          <reference field="2" count="1" selected="0">
            <x v="2"/>
          </reference>
          <reference field="8" count="1" selected="0">
            <x v="4"/>
          </reference>
        </references>
      </pivotArea>
    </chartFormat>
    <chartFormat chart="6" format="59">
      <pivotArea type="data" outline="0" fieldPosition="0">
        <references count="3">
          <reference field="4294967294" count="1" selected="0">
            <x v="0"/>
          </reference>
          <reference field="2" count="1" selected="0">
            <x v="3"/>
          </reference>
          <reference field="8" count="1" selected="0">
            <x v="4"/>
          </reference>
        </references>
      </pivotArea>
    </chartFormat>
    <chartFormat chart="6" format="60">
      <pivotArea type="data" outline="0" fieldPosition="0">
        <references count="3">
          <reference field="4294967294" count="1" selected="0">
            <x v="0"/>
          </reference>
          <reference field="2" count="1" selected="0">
            <x v="4"/>
          </reference>
          <reference field="8" count="1" selected="0">
            <x v="4"/>
          </reference>
        </references>
      </pivotArea>
    </chartFormat>
    <chartFormat chart="6" format="61" series="1">
      <pivotArea type="data" outline="0" fieldPosition="0">
        <references count="2">
          <reference field="4294967294" count="1" selected="0">
            <x v="0"/>
          </reference>
          <reference field="8" count="1" selected="0">
            <x v="5"/>
          </reference>
        </references>
      </pivotArea>
    </chartFormat>
    <chartFormat chart="6" format="62">
      <pivotArea type="data" outline="0" fieldPosition="0">
        <references count="3">
          <reference field="4294967294" count="1" selected="0">
            <x v="0"/>
          </reference>
          <reference field="2" count="1" selected="0">
            <x v="1"/>
          </reference>
          <reference field="8" count="1" selected="0">
            <x v="5"/>
          </reference>
        </references>
      </pivotArea>
    </chartFormat>
    <chartFormat chart="6" format="63">
      <pivotArea type="data" outline="0" fieldPosition="0">
        <references count="3">
          <reference field="4294967294" count="1" selected="0">
            <x v="0"/>
          </reference>
          <reference field="2" count="1" selected="0">
            <x v="2"/>
          </reference>
          <reference field="8" count="1" selected="0">
            <x v="5"/>
          </reference>
        </references>
      </pivotArea>
    </chartFormat>
    <chartFormat chart="6" format="64">
      <pivotArea type="data" outline="0" fieldPosition="0">
        <references count="3">
          <reference field="4294967294" count="1" selected="0">
            <x v="0"/>
          </reference>
          <reference field="2" count="1" selected="0">
            <x v="3"/>
          </reference>
          <reference field="8" count="1" selected="0">
            <x v="5"/>
          </reference>
        </references>
      </pivotArea>
    </chartFormat>
    <chartFormat chart="6" format="65">
      <pivotArea type="data" outline="0" fieldPosition="0">
        <references count="3">
          <reference field="4294967294" count="1" selected="0">
            <x v="0"/>
          </reference>
          <reference field="2" count="1" selected="0">
            <x v="4"/>
          </reference>
          <reference field="8" count="1" selected="0">
            <x v="5"/>
          </reference>
        </references>
      </pivotArea>
    </chartFormat>
    <chartFormat chart="8" format="96" series="1">
      <pivotArea type="data" outline="0" fieldPosition="0">
        <references count="2">
          <reference field="4294967294" count="1" selected="0">
            <x v="0"/>
          </reference>
          <reference field="8" count="1" selected="0">
            <x v="0"/>
          </reference>
        </references>
      </pivotArea>
    </chartFormat>
    <chartFormat chart="8" format="97">
      <pivotArea type="data" outline="0" fieldPosition="0">
        <references count="3">
          <reference field="4294967294" count="1" selected="0">
            <x v="0"/>
          </reference>
          <reference field="2" count="1" selected="0">
            <x v="1"/>
          </reference>
          <reference field="8" count="1" selected="0">
            <x v="0"/>
          </reference>
        </references>
      </pivotArea>
    </chartFormat>
    <chartFormat chart="8" format="98">
      <pivotArea type="data" outline="0" fieldPosition="0">
        <references count="3">
          <reference field="4294967294" count="1" selected="0">
            <x v="0"/>
          </reference>
          <reference field="2" count="1" selected="0">
            <x v="2"/>
          </reference>
          <reference field="8" count="1" selected="0">
            <x v="0"/>
          </reference>
        </references>
      </pivotArea>
    </chartFormat>
    <chartFormat chart="8" format="99">
      <pivotArea type="data" outline="0" fieldPosition="0">
        <references count="3">
          <reference field="4294967294" count="1" selected="0">
            <x v="0"/>
          </reference>
          <reference field="2" count="1" selected="0">
            <x v="3"/>
          </reference>
          <reference field="8" count="1" selected="0">
            <x v="0"/>
          </reference>
        </references>
      </pivotArea>
    </chartFormat>
    <chartFormat chart="8" format="100">
      <pivotArea type="data" outline="0" fieldPosition="0">
        <references count="3">
          <reference field="4294967294" count="1" selected="0">
            <x v="0"/>
          </reference>
          <reference field="2" count="1" selected="0">
            <x v="4"/>
          </reference>
          <reference field="8" count="1" selected="0">
            <x v="0"/>
          </reference>
        </references>
      </pivotArea>
    </chartFormat>
    <chartFormat chart="8" format="101" series="1">
      <pivotArea type="data" outline="0" fieldPosition="0">
        <references count="2">
          <reference field="4294967294" count="1" selected="0">
            <x v="0"/>
          </reference>
          <reference field="8" count="1" selected="0">
            <x v="1"/>
          </reference>
        </references>
      </pivotArea>
    </chartFormat>
    <chartFormat chart="8" format="102">
      <pivotArea type="data" outline="0" fieldPosition="0">
        <references count="3">
          <reference field="4294967294" count="1" selected="0">
            <x v="0"/>
          </reference>
          <reference field="2" count="1" selected="0">
            <x v="1"/>
          </reference>
          <reference field="8" count="1" selected="0">
            <x v="1"/>
          </reference>
        </references>
      </pivotArea>
    </chartFormat>
    <chartFormat chart="8" format="103">
      <pivotArea type="data" outline="0" fieldPosition="0">
        <references count="3">
          <reference field="4294967294" count="1" selected="0">
            <x v="0"/>
          </reference>
          <reference field="2" count="1" selected="0">
            <x v="2"/>
          </reference>
          <reference field="8" count="1" selected="0">
            <x v="1"/>
          </reference>
        </references>
      </pivotArea>
    </chartFormat>
    <chartFormat chart="8" format="104">
      <pivotArea type="data" outline="0" fieldPosition="0">
        <references count="3">
          <reference field="4294967294" count="1" selected="0">
            <x v="0"/>
          </reference>
          <reference field="2" count="1" selected="0">
            <x v="3"/>
          </reference>
          <reference field="8" count="1" selected="0">
            <x v="1"/>
          </reference>
        </references>
      </pivotArea>
    </chartFormat>
    <chartFormat chart="8" format="105">
      <pivotArea type="data" outline="0" fieldPosition="0">
        <references count="3">
          <reference field="4294967294" count="1" selected="0">
            <x v="0"/>
          </reference>
          <reference field="2" count="1" selected="0">
            <x v="4"/>
          </reference>
          <reference field="8" count="1" selected="0">
            <x v="1"/>
          </reference>
        </references>
      </pivotArea>
    </chartFormat>
    <chartFormat chart="8" format="106" series="1">
      <pivotArea type="data" outline="0" fieldPosition="0">
        <references count="2">
          <reference field="4294967294" count="1" selected="0">
            <x v="0"/>
          </reference>
          <reference field="8" count="1" selected="0">
            <x v="2"/>
          </reference>
        </references>
      </pivotArea>
    </chartFormat>
    <chartFormat chart="8" format="107">
      <pivotArea type="data" outline="0" fieldPosition="0">
        <references count="3">
          <reference field="4294967294" count="1" selected="0">
            <x v="0"/>
          </reference>
          <reference field="2" count="1" selected="0">
            <x v="1"/>
          </reference>
          <reference field="8" count="1" selected="0">
            <x v="2"/>
          </reference>
        </references>
      </pivotArea>
    </chartFormat>
    <chartFormat chart="8" format="108">
      <pivotArea type="data" outline="0" fieldPosition="0">
        <references count="3">
          <reference field="4294967294" count="1" selected="0">
            <x v="0"/>
          </reference>
          <reference field="2" count="1" selected="0">
            <x v="2"/>
          </reference>
          <reference field="8" count="1" selected="0">
            <x v="2"/>
          </reference>
        </references>
      </pivotArea>
    </chartFormat>
    <chartFormat chart="8" format="109">
      <pivotArea type="data" outline="0" fieldPosition="0">
        <references count="3">
          <reference field="4294967294" count="1" selected="0">
            <x v="0"/>
          </reference>
          <reference field="2" count="1" selected="0">
            <x v="3"/>
          </reference>
          <reference field="8" count="1" selected="0">
            <x v="2"/>
          </reference>
        </references>
      </pivotArea>
    </chartFormat>
    <chartFormat chart="8" format="110">
      <pivotArea type="data" outline="0" fieldPosition="0">
        <references count="3">
          <reference field="4294967294" count="1" selected="0">
            <x v="0"/>
          </reference>
          <reference field="2" count="1" selected="0">
            <x v="4"/>
          </reference>
          <reference field="8" count="1" selected="0">
            <x v="2"/>
          </reference>
        </references>
      </pivotArea>
    </chartFormat>
    <chartFormat chart="8" format="111" series="1">
      <pivotArea type="data" outline="0" fieldPosition="0">
        <references count="2">
          <reference field="4294967294" count="1" selected="0">
            <x v="0"/>
          </reference>
          <reference field="8" count="1" selected="0">
            <x v="3"/>
          </reference>
        </references>
      </pivotArea>
    </chartFormat>
    <chartFormat chart="8" format="112">
      <pivotArea type="data" outline="0" fieldPosition="0">
        <references count="3">
          <reference field="4294967294" count="1" selected="0">
            <x v="0"/>
          </reference>
          <reference field="2" count="1" selected="0">
            <x v="1"/>
          </reference>
          <reference field="8" count="1" selected="0">
            <x v="3"/>
          </reference>
        </references>
      </pivotArea>
    </chartFormat>
    <chartFormat chart="8" format="113">
      <pivotArea type="data" outline="0" fieldPosition="0">
        <references count="3">
          <reference field="4294967294" count="1" selected="0">
            <x v="0"/>
          </reference>
          <reference field="2" count="1" selected="0">
            <x v="2"/>
          </reference>
          <reference field="8" count="1" selected="0">
            <x v="3"/>
          </reference>
        </references>
      </pivotArea>
    </chartFormat>
    <chartFormat chart="8" format="114">
      <pivotArea type="data" outline="0" fieldPosition="0">
        <references count="3">
          <reference field="4294967294" count="1" selected="0">
            <x v="0"/>
          </reference>
          <reference field="2" count="1" selected="0">
            <x v="3"/>
          </reference>
          <reference field="8" count="1" selected="0">
            <x v="3"/>
          </reference>
        </references>
      </pivotArea>
    </chartFormat>
    <chartFormat chart="8" format="115">
      <pivotArea type="data" outline="0" fieldPosition="0">
        <references count="3">
          <reference field="4294967294" count="1" selected="0">
            <x v="0"/>
          </reference>
          <reference field="2" count="1" selected="0">
            <x v="4"/>
          </reference>
          <reference field="8" count="1" selected="0">
            <x v="3"/>
          </reference>
        </references>
      </pivotArea>
    </chartFormat>
    <chartFormat chart="8" format="116" series="1">
      <pivotArea type="data" outline="0" fieldPosition="0">
        <references count="2">
          <reference field="4294967294" count="1" selected="0">
            <x v="0"/>
          </reference>
          <reference field="8" count="1" selected="0">
            <x v="4"/>
          </reference>
        </references>
      </pivotArea>
    </chartFormat>
    <chartFormat chart="8" format="117">
      <pivotArea type="data" outline="0" fieldPosition="0">
        <references count="3">
          <reference field="4294967294" count="1" selected="0">
            <x v="0"/>
          </reference>
          <reference field="2" count="1" selected="0">
            <x v="1"/>
          </reference>
          <reference field="8" count="1" selected="0">
            <x v="4"/>
          </reference>
        </references>
      </pivotArea>
    </chartFormat>
    <chartFormat chart="8" format="118">
      <pivotArea type="data" outline="0" fieldPosition="0">
        <references count="3">
          <reference field="4294967294" count="1" selected="0">
            <x v="0"/>
          </reference>
          <reference field="2" count="1" selected="0">
            <x v="2"/>
          </reference>
          <reference field="8" count="1" selected="0">
            <x v="4"/>
          </reference>
        </references>
      </pivotArea>
    </chartFormat>
    <chartFormat chart="8" format="119">
      <pivotArea type="data" outline="0" fieldPosition="0">
        <references count="3">
          <reference field="4294967294" count="1" selected="0">
            <x v="0"/>
          </reference>
          <reference field="2" count="1" selected="0">
            <x v="3"/>
          </reference>
          <reference field="8" count="1" selected="0">
            <x v="4"/>
          </reference>
        </references>
      </pivotArea>
    </chartFormat>
    <chartFormat chart="8" format="120">
      <pivotArea type="data" outline="0" fieldPosition="0">
        <references count="3">
          <reference field="4294967294" count="1" selected="0">
            <x v="0"/>
          </reference>
          <reference field="2" count="1" selected="0">
            <x v="4"/>
          </reference>
          <reference field="8" count="1" selected="0">
            <x v="4"/>
          </reference>
        </references>
      </pivotArea>
    </chartFormat>
    <chartFormat chart="8" format="121" series="1">
      <pivotArea type="data" outline="0" fieldPosition="0">
        <references count="2">
          <reference field="4294967294" count="1" selected="0">
            <x v="0"/>
          </reference>
          <reference field="8" count="1" selected="0">
            <x v="5"/>
          </reference>
        </references>
      </pivotArea>
    </chartFormat>
    <chartFormat chart="8" format="122">
      <pivotArea type="data" outline="0" fieldPosition="0">
        <references count="3">
          <reference field="4294967294" count="1" selected="0">
            <x v="0"/>
          </reference>
          <reference field="2" count="1" selected="0">
            <x v="1"/>
          </reference>
          <reference field="8" count="1" selected="0">
            <x v="5"/>
          </reference>
        </references>
      </pivotArea>
    </chartFormat>
    <chartFormat chart="8" format="123">
      <pivotArea type="data" outline="0" fieldPosition="0">
        <references count="3">
          <reference field="4294967294" count="1" selected="0">
            <x v="0"/>
          </reference>
          <reference field="2" count="1" selected="0">
            <x v="2"/>
          </reference>
          <reference field="8" count="1" selected="0">
            <x v="5"/>
          </reference>
        </references>
      </pivotArea>
    </chartFormat>
    <chartFormat chart="8" format="124">
      <pivotArea type="data" outline="0" fieldPosition="0">
        <references count="3">
          <reference field="4294967294" count="1" selected="0">
            <x v="0"/>
          </reference>
          <reference field="2" count="1" selected="0">
            <x v="3"/>
          </reference>
          <reference field="8" count="1" selected="0">
            <x v="5"/>
          </reference>
        </references>
      </pivotArea>
    </chartFormat>
    <chartFormat chart="8" format="125">
      <pivotArea type="data" outline="0" fieldPosition="0">
        <references count="3">
          <reference field="4294967294" count="1" selected="0">
            <x v="0"/>
          </reference>
          <reference field="2" count="1" selected="0">
            <x v="4"/>
          </reference>
          <reference field="8" count="1" selected="0">
            <x v="5"/>
          </reference>
        </references>
      </pivotArea>
    </chartFormat>
    <chartFormat chart="14" format="126" series="1">
      <pivotArea type="data" outline="0" fieldPosition="0">
        <references count="2">
          <reference field="4294967294" count="1" selected="0">
            <x v="0"/>
          </reference>
          <reference field="8" count="1" selected="0">
            <x v="0"/>
          </reference>
        </references>
      </pivotArea>
    </chartFormat>
    <chartFormat chart="14" format="127">
      <pivotArea type="data" outline="0" fieldPosition="0">
        <references count="3">
          <reference field="4294967294" count="1" selected="0">
            <x v="0"/>
          </reference>
          <reference field="2" count="1" selected="0">
            <x v="1"/>
          </reference>
          <reference field="8" count="1" selected="0">
            <x v="0"/>
          </reference>
        </references>
      </pivotArea>
    </chartFormat>
    <chartFormat chart="14" format="128">
      <pivotArea type="data" outline="0" fieldPosition="0">
        <references count="3">
          <reference field="4294967294" count="1" selected="0">
            <x v="0"/>
          </reference>
          <reference field="2" count="1" selected="0">
            <x v="2"/>
          </reference>
          <reference field="8" count="1" selected="0">
            <x v="0"/>
          </reference>
        </references>
      </pivotArea>
    </chartFormat>
    <chartFormat chart="14" format="129">
      <pivotArea type="data" outline="0" fieldPosition="0">
        <references count="3">
          <reference field="4294967294" count="1" selected="0">
            <x v="0"/>
          </reference>
          <reference field="2" count="1" selected="0">
            <x v="3"/>
          </reference>
          <reference field="8" count="1" selected="0">
            <x v="0"/>
          </reference>
        </references>
      </pivotArea>
    </chartFormat>
    <chartFormat chart="14" format="130">
      <pivotArea type="data" outline="0" fieldPosition="0">
        <references count="3">
          <reference field="4294967294" count="1" selected="0">
            <x v="0"/>
          </reference>
          <reference field="2" count="1" selected="0">
            <x v="4"/>
          </reference>
          <reference field="8" count="1" selected="0">
            <x v="0"/>
          </reference>
        </references>
      </pivotArea>
    </chartFormat>
    <chartFormat chart="14" format="131" series="1">
      <pivotArea type="data" outline="0" fieldPosition="0">
        <references count="2">
          <reference field="4294967294" count="1" selected="0">
            <x v="0"/>
          </reference>
          <reference field="8" count="1" selected="0">
            <x v="1"/>
          </reference>
        </references>
      </pivotArea>
    </chartFormat>
    <chartFormat chart="14" format="132">
      <pivotArea type="data" outline="0" fieldPosition="0">
        <references count="3">
          <reference field="4294967294" count="1" selected="0">
            <x v="0"/>
          </reference>
          <reference field="2" count="1" selected="0">
            <x v="1"/>
          </reference>
          <reference field="8" count="1" selected="0">
            <x v="1"/>
          </reference>
        </references>
      </pivotArea>
    </chartFormat>
    <chartFormat chart="14" format="133">
      <pivotArea type="data" outline="0" fieldPosition="0">
        <references count="3">
          <reference field="4294967294" count="1" selected="0">
            <x v="0"/>
          </reference>
          <reference field="2" count="1" selected="0">
            <x v="2"/>
          </reference>
          <reference field="8" count="1" selected="0">
            <x v="1"/>
          </reference>
        </references>
      </pivotArea>
    </chartFormat>
    <chartFormat chart="14" format="134">
      <pivotArea type="data" outline="0" fieldPosition="0">
        <references count="3">
          <reference field="4294967294" count="1" selected="0">
            <x v="0"/>
          </reference>
          <reference field="2" count="1" selected="0">
            <x v="3"/>
          </reference>
          <reference field="8" count="1" selected="0">
            <x v="1"/>
          </reference>
        </references>
      </pivotArea>
    </chartFormat>
    <chartFormat chart="14" format="135">
      <pivotArea type="data" outline="0" fieldPosition="0">
        <references count="3">
          <reference field="4294967294" count="1" selected="0">
            <x v="0"/>
          </reference>
          <reference field="2" count="1" selected="0">
            <x v="4"/>
          </reference>
          <reference field="8" count="1" selected="0">
            <x v="1"/>
          </reference>
        </references>
      </pivotArea>
    </chartFormat>
    <chartFormat chart="14" format="136" series="1">
      <pivotArea type="data" outline="0" fieldPosition="0">
        <references count="2">
          <reference field="4294967294" count="1" selected="0">
            <x v="0"/>
          </reference>
          <reference field="8" count="1" selected="0">
            <x v="2"/>
          </reference>
        </references>
      </pivotArea>
    </chartFormat>
    <chartFormat chart="14" format="137">
      <pivotArea type="data" outline="0" fieldPosition="0">
        <references count="3">
          <reference field="4294967294" count="1" selected="0">
            <x v="0"/>
          </reference>
          <reference field="2" count="1" selected="0">
            <x v="1"/>
          </reference>
          <reference field="8" count="1" selected="0">
            <x v="2"/>
          </reference>
        </references>
      </pivotArea>
    </chartFormat>
    <chartFormat chart="14" format="138">
      <pivotArea type="data" outline="0" fieldPosition="0">
        <references count="3">
          <reference field="4294967294" count="1" selected="0">
            <x v="0"/>
          </reference>
          <reference field="2" count="1" selected="0">
            <x v="2"/>
          </reference>
          <reference field="8" count="1" selected="0">
            <x v="2"/>
          </reference>
        </references>
      </pivotArea>
    </chartFormat>
    <chartFormat chart="14" format="139">
      <pivotArea type="data" outline="0" fieldPosition="0">
        <references count="3">
          <reference field="4294967294" count="1" selected="0">
            <x v="0"/>
          </reference>
          <reference field="2" count="1" selected="0">
            <x v="3"/>
          </reference>
          <reference field="8" count="1" selected="0">
            <x v="2"/>
          </reference>
        </references>
      </pivotArea>
    </chartFormat>
    <chartFormat chart="14" format="140">
      <pivotArea type="data" outline="0" fieldPosition="0">
        <references count="3">
          <reference field="4294967294" count="1" selected="0">
            <x v="0"/>
          </reference>
          <reference field="2" count="1" selected="0">
            <x v="4"/>
          </reference>
          <reference field="8" count="1" selected="0">
            <x v="2"/>
          </reference>
        </references>
      </pivotArea>
    </chartFormat>
    <chartFormat chart="14" format="141" series="1">
      <pivotArea type="data" outline="0" fieldPosition="0">
        <references count="2">
          <reference field="4294967294" count="1" selected="0">
            <x v="0"/>
          </reference>
          <reference field="8" count="1" selected="0">
            <x v="3"/>
          </reference>
        </references>
      </pivotArea>
    </chartFormat>
    <chartFormat chart="14" format="142">
      <pivotArea type="data" outline="0" fieldPosition="0">
        <references count="3">
          <reference field="4294967294" count="1" selected="0">
            <x v="0"/>
          </reference>
          <reference field="2" count="1" selected="0">
            <x v="1"/>
          </reference>
          <reference field="8" count="1" selected="0">
            <x v="3"/>
          </reference>
        </references>
      </pivotArea>
    </chartFormat>
    <chartFormat chart="14" format="143">
      <pivotArea type="data" outline="0" fieldPosition="0">
        <references count="3">
          <reference field="4294967294" count="1" selected="0">
            <x v="0"/>
          </reference>
          <reference field="2" count="1" selected="0">
            <x v="2"/>
          </reference>
          <reference field="8" count="1" selected="0">
            <x v="3"/>
          </reference>
        </references>
      </pivotArea>
    </chartFormat>
    <chartFormat chart="14" format="144">
      <pivotArea type="data" outline="0" fieldPosition="0">
        <references count="3">
          <reference field="4294967294" count="1" selected="0">
            <x v="0"/>
          </reference>
          <reference field="2" count="1" selected="0">
            <x v="3"/>
          </reference>
          <reference field="8" count="1" selected="0">
            <x v="3"/>
          </reference>
        </references>
      </pivotArea>
    </chartFormat>
    <chartFormat chart="14" format="145">
      <pivotArea type="data" outline="0" fieldPosition="0">
        <references count="3">
          <reference field="4294967294" count="1" selected="0">
            <x v="0"/>
          </reference>
          <reference field="2" count="1" selected="0">
            <x v="4"/>
          </reference>
          <reference field="8" count="1" selected="0">
            <x v="3"/>
          </reference>
        </references>
      </pivotArea>
    </chartFormat>
    <chartFormat chart="14" format="146" series="1">
      <pivotArea type="data" outline="0" fieldPosition="0">
        <references count="2">
          <reference field="4294967294" count="1" selected="0">
            <x v="0"/>
          </reference>
          <reference field="8" count="1" selected="0">
            <x v="4"/>
          </reference>
        </references>
      </pivotArea>
    </chartFormat>
    <chartFormat chart="14" format="147">
      <pivotArea type="data" outline="0" fieldPosition="0">
        <references count="3">
          <reference field="4294967294" count="1" selected="0">
            <x v="0"/>
          </reference>
          <reference field="2" count="1" selected="0">
            <x v="1"/>
          </reference>
          <reference field="8" count="1" selected="0">
            <x v="4"/>
          </reference>
        </references>
      </pivotArea>
    </chartFormat>
    <chartFormat chart="14" format="148">
      <pivotArea type="data" outline="0" fieldPosition="0">
        <references count="3">
          <reference field="4294967294" count="1" selected="0">
            <x v="0"/>
          </reference>
          <reference field="2" count="1" selected="0">
            <x v="2"/>
          </reference>
          <reference field="8" count="1" selected="0">
            <x v="4"/>
          </reference>
        </references>
      </pivotArea>
    </chartFormat>
    <chartFormat chart="14" format="149">
      <pivotArea type="data" outline="0" fieldPosition="0">
        <references count="3">
          <reference field="4294967294" count="1" selected="0">
            <x v="0"/>
          </reference>
          <reference field="2" count="1" selected="0">
            <x v="3"/>
          </reference>
          <reference field="8" count="1" selected="0">
            <x v="4"/>
          </reference>
        </references>
      </pivotArea>
    </chartFormat>
    <chartFormat chart="14" format="150">
      <pivotArea type="data" outline="0" fieldPosition="0">
        <references count="3">
          <reference field="4294967294" count="1" selected="0">
            <x v="0"/>
          </reference>
          <reference field="2" count="1" selected="0">
            <x v="4"/>
          </reference>
          <reference field="8" count="1" selected="0">
            <x v="4"/>
          </reference>
        </references>
      </pivotArea>
    </chartFormat>
    <chartFormat chart="14" format="151" series="1">
      <pivotArea type="data" outline="0" fieldPosition="0">
        <references count="2">
          <reference field="4294967294" count="1" selected="0">
            <x v="0"/>
          </reference>
          <reference field="8" count="1" selected="0">
            <x v="5"/>
          </reference>
        </references>
      </pivotArea>
    </chartFormat>
    <chartFormat chart="14" format="152">
      <pivotArea type="data" outline="0" fieldPosition="0">
        <references count="3">
          <reference field="4294967294" count="1" selected="0">
            <x v="0"/>
          </reference>
          <reference field="2" count="1" selected="0">
            <x v="1"/>
          </reference>
          <reference field="8" count="1" selected="0">
            <x v="5"/>
          </reference>
        </references>
      </pivotArea>
    </chartFormat>
    <chartFormat chart="14" format="153">
      <pivotArea type="data" outline="0" fieldPosition="0">
        <references count="3">
          <reference field="4294967294" count="1" selected="0">
            <x v="0"/>
          </reference>
          <reference field="2" count="1" selected="0">
            <x v="2"/>
          </reference>
          <reference field="8" count="1" selected="0">
            <x v="5"/>
          </reference>
        </references>
      </pivotArea>
    </chartFormat>
    <chartFormat chart="14" format="154">
      <pivotArea type="data" outline="0" fieldPosition="0">
        <references count="3">
          <reference field="4294967294" count="1" selected="0">
            <x v="0"/>
          </reference>
          <reference field="2" count="1" selected="0">
            <x v="3"/>
          </reference>
          <reference field="8" count="1" selected="0">
            <x v="5"/>
          </reference>
        </references>
      </pivotArea>
    </chartFormat>
    <chartFormat chart="14" format="155">
      <pivotArea type="data" outline="0" fieldPosition="0">
        <references count="3">
          <reference field="4294967294" count="1" selected="0">
            <x v="0"/>
          </reference>
          <reference field="2" count="1" selected="0">
            <x v="4"/>
          </reference>
          <reference field="8" count="1" selected="0">
            <x v="5"/>
          </reference>
        </references>
      </pivotArea>
    </chartFormat>
    <chartFormat chart="15" format="156" series="1">
      <pivotArea type="data" outline="0" fieldPosition="0">
        <references count="2">
          <reference field="4294967294" count="1" selected="0">
            <x v="0"/>
          </reference>
          <reference field="8" count="1" selected="0">
            <x v="0"/>
          </reference>
        </references>
      </pivotArea>
    </chartFormat>
    <chartFormat chart="15" format="157">
      <pivotArea type="data" outline="0" fieldPosition="0">
        <references count="3">
          <reference field="4294967294" count="1" selected="0">
            <x v="0"/>
          </reference>
          <reference field="2" count="1" selected="0">
            <x v="1"/>
          </reference>
          <reference field="8" count="1" selected="0">
            <x v="0"/>
          </reference>
        </references>
      </pivotArea>
    </chartFormat>
    <chartFormat chart="15" format="158">
      <pivotArea type="data" outline="0" fieldPosition="0">
        <references count="3">
          <reference field="4294967294" count="1" selected="0">
            <x v="0"/>
          </reference>
          <reference field="2" count="1" selected="0">
            <x v="2"/>
          </reference>
          <reference field="8" count="1" selected="0">
            <x v="0"/>
          </reference>
        </references>
      </pivotArea>
    </chartFormat>
    <chartFormat chart="15" format="159">
      <pivotArea type="data" outline="0" fieldPosition="0">
        <references count="3">
          <reference field="4294967294" count="1" selected="0">
            <x v="0"/>
          </reference>
          <reference field="2" count="1" selected="0">
            <x v="3"/>
          </reference>
          <reference field="8" count="1" selected="0">
            <x v="0"/>
          </reference>
        </references>
      </pivotArea>
    </chartFormat>
    <chartFormat chart="15" format="160">
      <pivotArea type="data" outline="0" fieldPosition="0">
        <references count="3">
          <reference field="4294967294" count="1" selected="0">
            <x v="0"/>
          </reference>
          <reference field="2" count="1" selected="0">
            <x v="4"/>
          </reference>
          <reference field="8" count="1" selected="0">
            <x v="0"/>
          </reference>
        </references>
      </pivotArea>
    </chartFormat>
    <chartFormat chart="15" format="161" series="1">
      <pivotArea type="data" outline="0" fieldPosition="0">
        <references count="2">
          <reference field="4294967294" count="1" selected="0">
            <x v="0"/>
          </reference>
          <reference field="8" count="1" selected="0">
            <x v="1"/>
          </reference>
        </references>
      </pivotArea>
    </chartFormat>
    <chartFormat chart="15" format="162">
      <pivotArea type="data" outline="0" fieldPosition="0">
        <references count="3">
          <reference field="4294967294" count="1" selected="0">
            <x v="0"/>
          </reference>
          <reference field="2" count="1" selected="0">
            <x v="1"/>
          </reference>
          <reference field="8" count="1" selected="0">
            <x v="1"/>
          </reference>
        </references>
      </pivotArea>
    </chartFormat>
    <chartFormat chart="15" format="163">
      <pivotArea type="data" outline="0" fieldPosition="0">
        <references count="3">
          <reference field="4294967294" count="1" selected="0">
            <x v="0"/>
          </reference>
          <reference field="2" count="1" selected="0">
            <x v="2"/>
          </reference>
          <reference field="8" count="1" selected="0">
            <x v="1"/>
          </reference>
        </references>
      </pivotArea>
    </chartFormat>
    <chartFormat chart="15" format="164">
      <pivotArea type="data" outline="0" fieldPosition="0">
        <references count="3">
          <reference field="4294967294" count="1" selected="0">
            <x v="0"/>
          </reference>
          <reference field="2" count="1" selected="0">
            <x v="3"/>
          </reference>
          <reference field="8" count="1" selected="0">
            <x v="1"/>
          </reference>
        </references>
      </pivotArea>
    </chartFormat>
    <chartFormat chart="15" format="165">
      <pivotArea type="data" outline="0" fieldPosition="0">
        <references count="3">
          <reference field="4294967294" count="1" selected="0">
            <x v="0"/>
          </reference>
          <reference field="2" count="1" selected="0">
            <x v="4"/>
          </reference>
          <reference field="8" count="1" selected="0">
            <x v="1"/>
          </reference>
        </references>
      </pivotArea>
    </chartFormat>
    <chartFormat chart="15" format="166" series="1">
      <pivotArea type="data" outline="0" fieldPosition="0">
        <references count="2">
          <reference field="4294967294" count="1" selected="0">
            <x v="0"/>
          </reference>
          <reference field="8" count="1" selected="0">
            <x v="2"/>
          </reference>
        </references>
      </pivotArea>
    </chartFormat>
    <chartFormat chart="15" format="167">
      <pivotArea type="data" outline="0" fieldPosition="0">
        <references count="3">
          <reference field="4294967294" count="1" selected="0">
            <x v="0"/>
          </reference>
          <reference field="2" count="1" selected="0">
            <x v="1"/>
          </reference>
          <reference field="8" count="1" selected="0">
            <x v="2"/>
          </reference>
        </references>
      </pivotArea>
    </chartFormat>
    <chartFormat chart="15" format="168">
      <pivotArea type="data" outline="0" fieldPosition="0">
        <references count="3">
          <reference field="4294967294" count="1" selected="0">
            <x v="0"/>
          </reference>
          <reference field="2" count="1" selected="0">
            <x v="2"/>
          </reference>
          <reference field="8" count="1" selected="0">
            <x v="2"/>
          </reference>
        </references>
      </pivotArea>
    </chartFormat>
    <chartFormat chart="15" format="169">
      <pivotArea type="data" outline="0" fieldPosition="0">
        <references count="3">
          <reference field="4294967294" count="1" selected="0">
            <x v="0"/>
          </reference>
          <reference field="2" count="1" selected="0">
            <x v="3"/>
          </reference>
          <reference field="8" count="1" selected="0">
            <x v="2"/>
          </reference>
        </references>
      </pivotArea>
    </chartFormat>
    <chartFormat chart="15" format="170">
      <pivotArea type="data" outline="0" fieldPosition="0">
        <references count="3">
          <reference field="4294967294" count="1" selected="0">
            <x v="0"/>
          </reference>
          <reference field="2" count="1" selected="0">
            <x v="4"/>
          </reference>
          <reference field="8" count="1" selected="0">
            <x v="2"/>
          </reference>
        </references>
      </pivotArea>
    </chartFormat>
    <chartFormat chart="15" format="171" series="1">
      <pivotArea type="data" outline="0" fieldPosition="0">
        <references count="2">
          <reference field="4294967294" count="1" selected="0">
            <x v="0"/>
          </reference>
          <reference field="8" count="1" selected="0">
            <x v="3"/>
          </reference>
        </references>
      </pivotArea>
    </chartFormat>
    <chartFormat chart="15" format="172">
      <pivotArea type="data" outline="0" fieldPosition="0">
        <references count="3">
          <reference field="4294967294" count="1" selected="0">
            <x v="0"/>
          </reference>
          <reference field="2" count="1" selected="0">
            <x v="1"/>
          </reference>
          <reference field="8" count="1" selected="0">
            <x v="3"/>
          </reference>
        </references>
      </pivotArea>
    </chartFormat>
    <chartFormat chart="15" format="173">
      <pivotArea type="data" outline="0" fieldPosition="0">
        <references count="3">
          <reference field="4294967294" count="1" selected="0">
            <x v="0"/>
          </reference>
          <reference field="2" count="1" selected="0">
            <x v="2"/>
          </reference>
          <reference field="8" count="1" selected="0">
            <x v="3"/>
          </reference>
        </references>
      </pivotArea>
    </chartFormat>
    <chartFormat chart="15" format="174">
      <pivotArea type="data" outline="0" fieldPosition="0">
        <references count="3">
          <reference field="4294967294" count="1" selected="0">
            <x v="0"/>
          </reference>
          <reference field="2" count="1" selected="0">
            <x v="3"/>
          </reference>
          <reference field="8" count="1" selected="0">
            <x v="3"/>
          </reference>
        </references>
      </pivotArea>
    </chartFormat>
    <chartFormat chart="15" format="175">
      <pivotArea type="data" outline="0" fieldPosition="0">
        <references count="3">
          <reference field="4294967294" count="1" selected="0">
            <x v="0"/>
          </reference>
          <reference field="2" count="1" selected="0">
            <x v="4"/>
          </reference>
          <reference field="8" count="1" selected="0">
            <x v="3"/>
          </reference>
        </references>
      </pivotArea>
    </chartFormat>
    <chartFormat chart="15" format="176" series="1">
      <pivotArea type="data" outline="0" fieldPosition="0">
        <references count="2">
          <reference field="4294967294" count="1" selected="0">
            <x v="0"/>
          </reference>
          <reference field="8" count="1" selected="0">
            <x v="4"/>
          </reference>
        </references>
      </pivotArea>
    </chartFormat>
    <chartFormat chart="15" format="177">
      <pivotArea type="data" outline="0" fieldPosition="0">
        <references count="3">
          <reference field="4294967294" count="1" selected="0">
            <x v="0"/>
          </reference>
          <reference field="2" count="1" selected="0">
            <x v="1"/>
          </reference>
          <reference field="8" count="1" selected="0">
            <x v="4"/>
          </reference>
        </references>
      </pivotArea>
    </chartFormat>
    <chartFormat chart="15" format="178">
      <pivotArea type="data" outline="0" fieldPosition="0">
        <references count="3">
          <reference field="4294967294" count="1" selected="0">
            <x v="0"/>
          </reference>
          <reference field="2" count="1" selected="0">
            <x v="2"/>
          </reference>
          <reference field="8" count="1" selected="0">
            <x v="4"/>
          </reference>
        </references>
      </pivotArea>
    </chartFormat>
    <chartFormat chart="15" format="179">
      <pivotArea type="data" outline="0" fieldPosition="0">
        <references count="3">
          <reference field="4294967294" count="1" selected="0">
            <x v="0"/>
          </reference>
          <reference field="2" count="1" selected="0">
            <x v="3"/>
          </reference>
          <reference field="8" count="1" selected="0">
            <x v="4"/>
          </reference>
        </references>
      </pivotArea>
    </chartFormat>
    <chartFormat chart="15" format="180">
      <pivotArea type="data" outline="0" fieldPosition="0">
        <references count="3">
          <reference field="4294967294" count="1" selected="0">
            <x v="0"/>
          </reference>
          <reference field="2" count="1" selected="0">
            <x v="4"/>
          </reference>
          <reference field="8" count="1" selected="0">
            <x v="4"/>
          </reference>
        </references>
      </pivotArea>
    </chartFormat>
    <chartFormat chart="15" format="181" series="1">
      <pivotArea type="data" outline="0" fieldPosition="0">
        <references count="2">
          <reference field="4294967294" count="1" selected="0">
            <x v="0"/>
          </reference>
          <reference field="8" count="1" selected="0">
            <x v="5"/>
          </reference>
        </references>
      </pivotArea>
    </chartFormat>
    <chartFormat chart="15" format="182">
      <pivotArea type="data" outline="0" fieldPosition="0">
        <references count="3">
          <reference field="4294967294" count="1" selected="0">
            <x v="0"/>
          </reference>
          <reference field="2" count="1" selected="0">
            <x v="1"/>
          </reference>
          <reference field="8" count="1" selected="0">
            <x v="5"/>
          </reference>
        </references>
      </pivotArea>
    </chartFormat>
    <chartFormat chart="15" format="183">
      <pivotArea type="data" outline="0" fieldPosition="0">
        <references count="3">
          <reference field="4294967294" count="1" selected="0">
            <x v="0"/>
          </reference>
          <reference field="2" count="1" selected="0">
            <x v="2"/>
          </reference>
          <reference field="8" count="1" selected="0">
            <x v="5"/>
          </reference>
        </references>
      </pivotArea>
    </chartFormat>
    <chartFormat chart="15" format="184">
      <pivotArea type="data" outline="0" fieldPosition="0">
        <references count="3">
          <reference field="4294967294" count="1" selected="0">
            <x v="0"/>
          </reference>
          <reference field="2" count="1" selected="0">
            <x v="3"/>
          </reference>
          <reference field="8" count="1" selected="0">
            <x v="5"/>
          </reference>
        </references>
      </pivotArea>
    </chartFormat>
    <chartFormat chart="15" format="185">
      <pivotArea type="data" outline="0" fieldPosition="0">
        <references count="3">
          <reference field="4294967294" count="1" selected="0">
            <x v="0"/>
          </reference>
          <reference field="2" count="1" selected="0">
            <x v="4"/>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7C0F913-5958-4A4E-BFF5-BC4BD20E3BF5}" autoFormatId="16" applyNumberFormats="0" applyBorderFormats="0" applyFontFormats="0" applyPatternFormats="0" applyAlignmentFormats="0" applyWidthHeightFormats="0">
  <queryTableRefresh nextId="12">
    <queryTableFields count="11">
      <queryTableField id="1" name="User_ID" tableColumnId="1"/>
      <queryTableField id="2" name="Name" tableColumnId="2"/>
      <queryTableField id="3" name="Age" tableColumnId="3"/>
      <queryTableField id="11" dataBound="0" tableColumnId="11"/>
      <queryTableField id="4" name="Gender" tableColumnId="4"/>
      <queryTableField id="5" name="Favorite_Movie_Genre" tableColumnId="5"/>
      <queryTableField id="6" name="Favorite_Music_Genre" tableColumnId="6"/>
      <queryTableField id="7" name="Streaming_Hours_per_Week" tableColumnId="7"/>
      <queryTableField id="8" name="Monthly_Entertainment_Spend" tableColumnId="8"/>
      <queryTableField id="9" name="Preferred_Platform" tableColumnId="9"/>
      <queryTableField id="10" name="Event_Attendance_per_Year"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17BAB3D6-2345-49EB-8005-40AF4926D1E5}" autoFormatId="16" applyNumberFormats="0" applyBorderFormats="0" applyFontFormats="0" applyPatternFormats="0" applyAlignmentFormats="0" applyWidthHeightFormats="0">
  <queryTableRefresh nextId="13" unboundColumnsRight="1">
    <queryTableFields count="10">
      <queryTableField id="1" name="User_ID" tableColumnId="1"/>
      <queryTableField id="2" name="Name" tableColumnId="2"/>
      <queryTableField id="3" name="Age" tableColumnId="3"/>
      <queryTableField id="4" name="Gender" tableColumnId="4"/>
      <queryTableField id="5" name="Favorite_Movie_Genre" tableColumnId="5"/>
      <queryTableField id="6" name="Favorite_Music_Genre" tableColumnId="6"/>
      <queryTableField id="7" name="Streaming_Hours_per_Week" tableColumnId="7"/>
      <queryTableField id="8" name="Monthly_Entertainment_Spend" tableColumnId="8"/>
      <queryTableField id="10" name="Event_Attendance_per_Year" tableColumnId="10"/>
      <queryTableField id="12" dataBound="0" tableColumnId="12"/>
    </queryTableFields>
    <queryTableDeletedFields count="1">
      <deletedField name="Preferred_Platform"/>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5201EF28-5CC1-41E7-9C8D-71E6A9AA2AE6}" sourceName="Age">
  <pivotTables>
    <pivotTable tabId="4" name="PivotTable4"/>
  </pivotTables>
  <data>
    <tabular pivotCacheId="859834477">
      <items count="6">
        <i x="1"/>
        <i x="2" s="1"/>
        <i x="3"/>
        <i x="4"/>
        <i x="0" nd="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ferred_Platform" xr10:uid="{0C1C3117-C970-4D36-BE30-37A4B9EA97F5}" sourceName="Preferred_Platform">
  <pivotTables>
    <pivotTable tabId="4" name="PivotTable29"/>
  </pivotTables>
  <data>
    <tabular pivotCacheId="859834477">
      <items count="6">
        <i x="2" s="1"/>
        <i x="1" s="1"/>
        <i x="0" s="1"/>
        <i x="4"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vorite_Movie_Genre" xr10:uid="{3C39B4B0-4F40-4145-94DA-4057B540E37C}" sourceName="Favorite_Movie_Genre">
  <pivotTables>
    <pivotTable tabId="4" name="PivotTable11"/>
  </pivotTables>
  <data>
    <tabular pivotCacheId="859834477">
      <items count="8">
        <i x="1"/>
        <i x="4"/>
        <i x="0"/>
        <i x="5"/>
        <i x="6" s="1"/>
        <i x="7"/>
        <i x="2"/>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1" xr10:uid="{B2B44860-48A9-4DDC-8080-92E7919CCD76}" sourceName="Age">
  <pivotTables>
    <pivotTable tabId="4" name="PivotTable13"/>
  </pivotTables>
  <data>
    <tabular pivotCacheId="859834477">
      <items count="6">
        <i x="1" s="1"/>
        <i x="2" s="1"/>
        <i x="3" s="1"/>
        <i x="4" s="1"/>
        <i x="0" s="1" nd="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ferred_Platform1" xr10:uid="{FB262B62-59F5-4E75-916D-58B72A0E1F12}" sourceName="Preferred_Platform">
  <pivotTables>
    <pivotTable tabId="4" name="PivotTable17"/>
  </pivotTables>
  <data>
    <tabular pivotCacheId="859834477">
      <items count="6">
        <i x="2"/>
        <i x="1"/>
        <i x="0"/>
        <i x="4"/>
        <i x="3" s="1"/>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8D6B785F-E479-41BD-B8B3-5BDC9DDC7CEE}" cache="Slicer_Age" caption="Age" rowHeight="257175"/>
  <slicer name="Preferred_Platform" xr10:uid="{96607ECC-440D-45BE-A6D3-29DE0ECEF333}" cache="Slicer_Preferred_Platform" caption="Preferred_Platform" columnCount="2" rowHeight="548640"/>
  <slicer name="Favorite_Movie_Genre" xr10:uid="{5344B9B6-26E8-4B96-89FF-F0A416C50E60}" cache="Slicer_Favorite_Movie_Genre" caption="Favorite_Movie_Genre" rowHeight="257175"/>
  <slicer name="Age 1" xr10:uid="{648F71AE-C4C4-4A66-8C9D-6CB199F1E684}" cache="Slicer_Age1" caption="Age" columnCount="4" rowHeight="822960"/>
  <slicer name="Preferred_Platform 1" xr10:uid="{CE3E14B4-75A8-42D5-BBBE-74015BD9693A}" cache="Slicer_Preferred_Platform1" caption="Preferred_Platform" columnCount="3" rowHeight="11887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C7AB2D-32AF-491B-92D5-2C76D57C6062}" name="entertainment_preferences_250" displayName="entertainment_preferences_250" ref="A1:K251" tableType="queryTable" totalsRowShown="0">
  <autoFilter ref="A1:K251" xr:uid="{2EC7AB2D-32AF-491B-92D5-2C76D57C6062}"/>
  <sortState xmlns:xlrd2="http://schemas.microsoft.com/office/spreadsheetml/2017/richdata2" ref="A2:K251">
    <sortCondition ref="D1:D251"/>
  </sortState>
  <tableColumns count="11">
    <tableColumn id="1" xr3:uid="{421A46D9-F268-4ED1-83C8-11171A3846BA}" uniqueName="1" name="User_ID" queryTableFieldId="1"/>
    <tableColumn id="2" xr3:uid="{6512D5C0-F6DD-4603-9E1E-886219530284}" uniqueName="2" name="Name" queryTableFieldId="2" dataDxfId="15"/>
    <tableColumn id="3" xr3:uid="{1249A4E1-75D1-4ED8-B2AE-B9EC9577D144}" uniqueName="3" name="Age" queryTableFieldId="3"/>
    <tableColumn id="11" xr3:uid="{485E5293-722B-41AC-8E05-518CF37B6C37}" uniqueName="11" name="Age_Groups" queryTableFieldId="11" dataDxfId="14">
      <calculatedColumnFormula>IF(C2&lt;=20,"10-20",IF(C2&lt;=30,"21-30",IF(C2&lt;=40,"31-40",IF(C2&lt;=50,"41-50","51-60"))))</calculatedColumnFormula>
    </tableColumn>
    <tableColumn id="4" xr3:uid="{55CA0E3D-7521-4D9B-94FA-B33A412C92D2}" uniqueName="4" name="Gender" queryTableFieldId="4" dataDxfId="13"/>
    <tableColumn id="5" xr3:uid="{855ECF31-4371-4E0A-8525-C47CD7D5F82F}" uniqueName="5" name="Favorite_Movie_Genre" queryTableFieldId="5" dataDxfId="12"/>
    <tableColumn id="6" xr3:uid="{9B6F9EE7-10A4-4684-9B09-8747F571652B}" uniqueName="6" name="Favorite_Music_Genre" queryTableFieldId="6" dataDxfId="11"/>
    <tableColumn id="7" xr3:uid="{EF7988E5-C64B-466C-9D84-44859598188B}" uniqueName="7" name="Streaming_Hours_per_Week" queryTableFieldId="7"/>
    <tableColumn id="8" xr3:uid="{3F8D32A6-F974-40BA-83FF-FF198EFE59FE}" uniqueName="8" name="Monthly_Entertainment_Spend" queryTableFieldId="8"/>
    <tableColumn id="9" xr3:uid="{BA0BFA1B-2FC3-497D-A78E-D6E217BA3FF9}" uniqueName="9" name="Preferred_Platform" queryTableFieldId="9" dataDxfId="10"/>
    <tableColumn id="10" xr3:uid="{2382EED6-B80D-4AC8-84E0-5148BE6F085B}" uniqueName="10" name="Event_Attendance_per_Year"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256B1FF-AAB8-477A-B064-B622CC525E27}" name="Table4" displayName="Table4" ref="AD1:AE251" totalsRowShown="0">
  <autoFilter ref="AD1:AE251" xr:uid="{D256B1FF-AAB8-477A-B064-B622CC525E27}"/>
  <tableColumns count="2">
    <tableColumn id="1" xr3:uid="{53028388-BCFC-4E5F-9FB2-BC7264147B96}" name="Age_Groups"/>
    <tableColumn id="2" xr3:uid="{C52A3C56-A5F8-4FBB-85B8-1BDA27B359AB}" name="Monthly_Entertainment_Spend"/>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EBF26A5-0948-468D-BFD8-87BE78BB7E92}" name="Table5" displayName="Table5" ref="AS1:AT251" totalsRowShown="0">
  <autoFilter ref="AS1:AT251" xr:uid="{7EBF26A5-0948-468D-BFD8-87BE78BB7E92}"/>
  <tableColumns count="2">
    <tableColumn id="1" xr3:uid="{78772D14-132B-47C6-B6B5-4DFB00A0FE05}" name="Age_Groups"/>
    <tableColumn id="2" xr3:uid="{21BCB698-5B99-404B-BE09-1643A491CB30}" name="Streaming_Hours_per_Week"/>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596727E-60D9-4BE8-A7C0-E6BDD49525B7}" name="Table3" displayName="Table3" ref="L8:O20" totalsRowShown="0" headerRowDxfId="9" dataDxfId="8">
  <autoFilter ref="L8:O20" xr:uid="{1596727E-60D9-4BE8-A7C0-E6BDD49525B7}"/>
  <tableColumns count="4">
    <tableColumn id="1" xr3:uid="{2596933E-EA5E-4B66-91B0-D77184490CEE}" name="Column1" dataDxfId="7"/>
    <tableColumn id="2" xr3:uid="{156A6830-2A75-4682-BAA5-6F0F911640BE}" name="Streaming_Hours_per_Week" dataDxfId="6"/>
    <tableColumn id="3" xr3:uid="{A5E80904-0A67-4C51-9107-C414B20CDB8A}" name="Monthly_Entertainment_Spend" dataDxfId="5"/>
    <tableColumn id="4" xr3:uid="{B2C7F36C-21E2-426A-BEE7-4B09474D9FFD}" name="Event_Attendance_per_Year" dataDxfId="4"/>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49A096-A92F-4B9A-A7E0-91384F303DD5}" name="entertainment_preferences_2503" displayName="entertainment_preferences_2503" ref="A1:J251" tableType="queryTable" totalsRowShown="0">
  <autoFilter ref="A1:J251" xr:uid="{5249A096-A92F-4B9A-A7E0-91384F303DD5}"/>
  <tableColumns count="10">
    <tableColumn id="1" xr3:uid="{A17AA340-AD1C-4D8F-85F1-5BBA73F63696}" uniqueName="1" name="User_ID" queryTableFieldId="1"/>
    <tableColumn id="2" xr3:uid="{4C611458-C9CC-426B-9D6C-00C7265DA844}" uniqueName="2" name="Name" queryTableFieldId="2" dataDxfId="3"/>
    <tableColumn id="3" xr3:uid="{402C1AEF-EA55-4F63-A0C9-A3C22512F954}" uniqueName="3" name="Age" queryTableFieldId="3"/>
    <tableColumn id="4" xr3:uid="{F36C01E2-6AA0-4A93-88D9-0A88C853772F}" uniqueName="4" name="Gender" queryTableFieldId="4" dataDxfId="2"/>
    <tableColumn id="5" xr3:uid="{ACEE48A9-9D37-48D7-92E6-955E77AB24CD}" uniqueName="5" name="Favorite_Movie_Genre" queryTableFieldId="5" dataDxfId="1"/>
    <tableColumn id="6" xr3:uid="{D6F9C64B-74B3-4D74-AE9D-5A5D1E4907F5}" uniqueName="6" name="Favorite_Music_Genre" queryTableFieldId="6" dataDxfId="0"/>
    <tableColumn id="7" xr3:uid="{E3F35968-AF38-45CF-A826-1252CEA81D37}" uniqueName="7" name="Streaming_Hours_per_Week" queryTableFieldId="7"/>
    <tableColumn id="8" xr3:uid="{F7DCDC40-2A29-46CB-B760-D7D7F17D1DEC}" uniqueName="8" name="Monthly_Entertainment_Spend" queryTableFieldId="8"/>
    <tableColumn id="10" xr3:uid="{F8EB15D2-188B-4760-8C7B-9DC5FE9AA2C1}" uniqueName="10" name="Event_Attendance_per_Year" queryTableFieldId="10"/>
    <tableColumn id="12" xr3:uid="{B6D558A7-103E-403C-9F05-CC95AACFA167}" uniqueName="12" name="Preferred_Platform"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29381-1349-4019-AFB2-9B88387E80FA}">
  <dimension ref="A1:K251"/>
  <sheetViews>
    <sheetView zoomScale="75" workbookViewId="0">
      <selection sqref="A1:K251"/>
    </sheetView>
  </sheetViews>
  <sheetFormatPr defaultRowHeight="15" x14ac:dyDescent="0.25"/>
  <cols>
    <col min="1" max="1" width="9.5703125" bestFit="1" customWidth="1"/>
    <col min="2" max="2" width="16.28515625" customWidth="1"/>
    <col min="3" max="3" width="12" customWidth="1"/>
    <col min="4" max="4" width="13.28515625" customWidth="1"/>
    <col min="5" max="5" width="13.140625" customWidth="1"/>
    <col min="6" max="7" width="21.7109375" bestFit="1" customWidth="1"/>
    <col min="8" max="8" width="26.7109375" bestFit="1" customWidth="1"/>
    <col min="9" max="9" width="29" bestFit="1" customWidth="1"/>
    <col min="10" max="10" width="20.7109375" customWidth="1"/>
    <col min="11" max="11" width="26.42578125" bestFit="1" customWidth="1"/>
  </cols>
  <sheetData>
    <row r="1" spans="1:11" x14ac:dyDescent="0.25">
      <c r="A1" t="s">
        <v>0</v>
      </c>
      <c r="B1" t="s">
        <v>1</v>
      </c>
      <c r="C1" t="s">
        <v>2</v>
      </c>
      <c r="D1" t="s">
        <v>85</v>
      </c>
      <c r="E1" t="s">
        <v>3</v>
      </c>
      <c r="F1" t="s">
        <v>4</v>
      </c>
      <c r="G1" t="s">
        <v>5</v>
      </c>
      <c r="H1" t="s">
        <v>6</v>
      </c>
      <c r="I1" t="s">
        <v>7</v>
      </c>
      <c r="J1" t="s">
        <v>8</v>
      </c>
      <c r="K1" t="s">
        <v>9</v>
      </c>
    </row>
    <row r="2" spans="1:11" x14ac:dyDescent="0.25">
      <c r="A2">
        <v>1038</v>
      </c>
      <c r="B2" t="s">
        <v>40</v>
      </c>
      <c r="C2">
        <v>18</v>
      </c>
      <c r="D2" t="str">
        <f t="shared" ref="D2:D65" si="0">IF(C2&lt;=20,"10-20",IF(C2&lt;=30,"21-30",IF(C2&lt;=40,"31-40",IF(C2&lt;=50,"41-50","51-60"))))</f>
        <v>10-20</v>
      </c>
      <c r="E2" t="s">
        <v>16</v>
      </c>
      <c r="F2" t="s">
        <v>49</v>
      </c>
      <c r="G2" t="s">
        <v>41</v>
      </c>
      <c r="H2">
        <v>26</v>
      </c>
      <c r="I2">
        <v>880</v>
      </c>
      <c r="J2" t="s">
        <v>30</v>
      </c>
      <c r="K2">
        <v>10</v>
      </c>
    </row>
    <row r="3" spans="1:11" x14ac:dyDescent="0.25">
      <c r="A3">
        <v>1043</v>
      </c>
      <c r="B3" t="s">
        <v>40</v>
      </c>
      <c r="C3">
        <v>19</v>
      </c>
      <c r="D3" t="str">
        <f t="shared" si="0"/>
        <v>10-20</v>
      </c>
      <c r="E3" t="s">
        <v>11</v>
      </c>
      <c r="F3" t="s">
        <v>17</v>
      </c>
      <c r="G3" t="s">
        <v>41</v>
      </c>
      <c r="H3">
        <v>21</v>
      </c>
      <c r="I3">
        <v>2994</v>
      </c>
      <c r="J3" t="s">
        <v>14</v>
      </c>
      <c r="K3">
        <v>2</v>
      </c>
    </row>
    <row r="4" spans="1:11" x14ac:dyDescent="0.25">
      <c r="A4">
        <v>1075</v>
      </c>
      <c r="B4" t="s">
        <v>51</v>
      </c>
      <c r="C4">
        <v>20</v>
      </c>
      <c r="D4" t="str">
        <f t="shared" si="0"/>
        <v>10-20</v>
      </c>
      <c r="E4" t="s">
        <v>11</v>
      </c>
      <c r="F4" t="s">
        <v>27</v>
      </c>
      <c r="G4" t="s">
        <v>38</v>
      </c>
      <c r="H4">
        <v>21</v>
      </c>
      <c r="I4">
        <v>511</v>
      </c>
      <c r="J4" t="s">
        <v>14</v>
      </c>
      <c r="K4">
        <v>8</v>
      </c>
    </row>
    <row r="5" spans="1:11" x14ac:dyDescent="0.25">
      <c r="A5">
        <v>1077</v>
      </c>
      <c r="B5" t="s">
        <v>31</v>
      </c>
      <c r="C5">
        <v>19</v>
      </c>
      <c r="D5" t="str">
        <f t="shared" si="0"/>
        <v>10-20</v>
      </c>
      <c r="E5" t="s">
        <v>16</v>
      </c>
      <c r="F5" t="s">
        <v>35</v>
      </c>
      <c r="G5" t="s">
        <v>41</v>
      </c>
      <c r="H5">
        <v>21</v>
      </c>
      <c r="I5">
        <v>1254</v>
      </c>
      <c r="J5" t="s">
        <v>14</v>
      </c>
      <c r="K5">
        <v>1</v>
      </c>
    </row>
    <row r="6" spans="1:11" x14ac:dyDescent="0.25">
      <c r="A6">
        <v>1079</v>
      </c>
      <c r="B6" t="s">
        <v>24</v>
      </c>
      <c r="C6">
        <v>20</v>
      </c>
      <c r="D6" t="str">
        <f t="shared" si="0"/>
        <v>10-20</v>
      </c>
      <c r="E6" t="s">
        <v>16</v>
      </c>
      <c r="F6" t="s">
        <v>25</v>
      </c>
      <c r="G6" t="s">
        <v>18</v>
      </c>
      <c r="H6">
        <v>8</v>
      </c>
      <c r="I6">
        <v>787</v>
      </c>
      <c r="J6" t="s">
        <v>36</v>
      </c>
      <c r="K6">
        <v>7</v>
      </c>
    </row>
    <row r="7" spans="1:11" x14ac:dyDescent="0.25">
      <c r="A7">
        <v>1132</v>
      </c>
      <c r="B7" t="s">
        <v>20</v>
      </c>
      <c r="C7">
        <v>19</v>
      </c>
      <c r="D7" t="str">
        <f t="shared" si="0"/>
        <v>10-20</v>
      </c>
      <c r="E7" t="s">
        <v>16</v>
      </c>
      <c r="F7" t="s">
        <v>49</v>
      </c>
      <c r="G7" t="s">
        <v>29</v>
      </c>
      <c r="H7">
        <v>28</v>
      </c>
      <c r="I7">
        <v>2846</v>
      </c>
      <c r="J7" t="s">
        <v>19</v>
      </c>
      <c r="K7">
        <v>0</v>
      </c>
    </row>
    <row r="8" spans="1:11" x14ac:dyDescent="0.25">
      <c r="A8">
        <v>1152</v>
      </c>
      <c r="B8" t="s">
        <v>28</v>
      </c>
      <c r="C8">
        <v>19</v>
      </c>
      <c r="D8" t="str">
        <f t="shared" si="0"/>
        <v>10-20</v>
      </c>
      <c r="E8" t="s">
        <v>16</v>
      </c>
      <c r="F8" t="s">
        <v>49</v>
      </c>
      <c r="G8" t="s">
        <v>41</v>
      </c>
      <c r="H8">
        <v>9</v>
      </c>
      <c r="I8">
        <v>979</v>
      </c>
      <c r="J8" t="s">
        <v>43</v>
      </c>
      <c r="K8">
        <v>4</v>
      </c>
    </row>
    <row r="9" spans="1:11" x14ac:dyDescent="0.25">
      <c r="A9">
        <v>1168</v>
      </c>
      <c r="B9" t="s">
        <v>34</v>
      </c>
      <c r="C9">
        <v>19</v>
      </c>
      <c r="D9" t="str">
        <f t="shared" si="0"/>
        <v>10-20</v>
      </c>
      <c r="E9" t="s">
        <v>16</v>
      </c>
      <c r="F9" t="s">
        <v>35</v>
      </c>
      <c r="G9" t="s">
        <v>33</v>
      </c>
      <c r="H9">
        <v>22</v>
      </c>
      <c r="I9">
        <v>1517</v>
      </c>
      <c r="J9" t="s">
        <v>36</v>
      </c>
      <c r="K9">
        <v>9</v>
      </c>
    </row>
    <row r="10" spans="1:11" x14ac:dyDescent="0.25">
      <c r="A10">
        <v>1174</v>
      </c>
      <c r="B10" t="s">
        <v>37</v>
      </c>
      <c r="C10">
        <v>19</v>
      </c>
      <c r="D10" t="str">
        <f t="shared" si="0"/>
        <v>10-20</v>
      </c>
      <c r="E10" t="s">
        <v>16</v>
      </c>
      <c r="F10" t="s">
        <v>17</v>
      </c>
      <c r="G10" t="s">
        <v>38</v>
      </c>
      <c r="H10">
        <v>25</v>
      </c>
      <c r="I10">
        <v>1772</v>
      </c>
      <c r="J10" t="s">
        <v>23</v>
      </c>
      <c r="K10">
        <v>3</v>
      </c>
    </row>
    <row r="11" spans="1:11" x14ac:dyDescent="0.25">
      <c r="A11">
        <v>1184</v>
      </c>
      <c r="B11" t="s">
        <v>51</v>
      </c>
      <c r="C11">
        <v>19</v>
      </c>
      <c r="D11" t="str">
        <f t="shared" si="0"/>
        <v>10-20</v>
      </c>
      <c r="E11" t="s">
        <v>16</v>
      </c>
      <c r="F11" t="s">
        <v>25</v>
      </c>
      <c r="G11" t="s">
        <v>33</v>
      </c>
      <c r="H11">
        <v>29</v>
      </c>
      <c r="I11">
        <v>1630</v>
      </c>
      <c r="J11" t="s">
        <v>43</v>
      </c>
      <c r="K11">
        <v>1</v>
      </c>
    </row>
    <row r="12" spans="1:11" x14ac:dyDescent="0.25">
      <c r="A12">
        <v>1190</v>
      </c>
      <c r="B12" t="s">
        <v>37</v>
      </c>
      <c r="C12">
        <v>19</v>
      </c>
      <c r="D12" t="str">
        <f t="shared" si="0"/>
        <v>10-20</v>
      </c>
      <c r="E12" t="s">
        <v>11</v>
      </c>
      <c r="F12" t="s">
        <v>49</v>
      </c>
      <c r="G12" t="s">
        <v>18</v>
      </c>
      <c r="H12">
        <v>9</v>
      </c>
      <c r="I12">
        <v>566</v>
      </c>
      <c r="J12" t="s">
        <v>19</v>
      </c>
      <c r="K12">
        <v>2</v>
      </c>
    </row>
    <row r="13" spans="1:11" x14ac:dyDescent="0.25">
      <c r="A13">
        <v>1196</v>
      </c>
      <c r="B13" t="s">
        <v>52</v>
      </c>
      <c r="C13">
        <v>18</v>
      </c>
      <c r="D13" t="str">
        <f t="shared" si="0"/>
        <v>10-20</v>
      </c>
      <c r="E13" t="s">
        <v>16</v>
      </c>
      <c r="F13" t="s">
        <v>32</v>
      </c>
      <c r="G13" t="s">
        <v>18</v>
      </c>
      <c r="H13">
        <v>27</v>
      </c>
      <c r="I13">
        <v>564</v>
      </c>
      <c r="J13" t="s">
        <v>43</v>
      </c>
      <c r="K13">
        <v>9</v>
      </c>
    </row>
    <row r="14" spans="1:11" x14ac:dyDescent="0.25">
      <c r="A14">
        <v>1198</v>
      </c>
      <c r="B14" t="s">
        <v>47</v>
      </c>
      <c r="C14">
        <v>20</v>
      </c>
      <c r="D14" t="str">
        <f t="shared" si="0"/>
        <v>10-20</v>
      </c>
      <c r="E14" t="s">
        <v>16</v>
      </c>
      <c r="F14" t="s">
        <v>35</v>
      </c>
      <c r="G14" t="s">
        <v>33</v>
      </c>
      <c r="H14">
        <v>8</v>
      </c>
      <c r="I14">
        <v>2716</v>
      </c>
      <c r="J14" t="s">
        <v>23</v>
      </c>
      <c r="K14">
        <v>7</v>
      </c>
    </row>
    <row r="15" spans="1:11" x14ac:dyDescent="0.25">
      <c r="A15">
        <v>1212</v>
      </c>
      <c r="B15" t="s">
        <v>39</v>
      </c>
      <c r="C15">
        <v>20</v>
      </c>
      <c r="D15" t="str">
        <f t="shared" si="0"/>
        <v>10-20</v>
      </c>
      <c r="E15" t="s">
        <v>11</v>
      </c>
      <c r="F15" t="s">
        <v>32</v>
      </c>
      <c r="G15" t="s">
        <v>13</v>
      </c>
      <c r="H15">
        <v>29</v>
      </c>
      <c r="I15">
        <v>2606</v>
      </c>
      <c r="J15" t="s">
        <v>30</v>
      </c>
      <c r="K15">
        <v>6</v>
      </c>
    </row>
    <row r="16" spans="1:11" x14ac:dyDescent="0.25">
      <c r="A16">
        <v>1213</v>
      </c>
      <c r="B16" t="s">
        <v>34</v>
      </c>
      <c r="C16">
        <v>20</v>
      </c>
      <c r="D16" t="str">
        <f t="shared" si="0"/>
        <v>10-20</v>
      </c>
      <c r="E16" t="s">
        <v>11</v>
      </c>
      <c r="F16" t="s">
        <v>49</v>
      </c>
      <c r="G16" t="s">
        <v>13</v>
      </c>
      <c r="H16">
        <v>11</v>
      </c>
      <c r="I16">
        <v>1447</v>
      </c>
      <c r="J16" t="s">
        <v>30</v>
      </c>
      <c r="K16">
        <v>4</v>
      </c>
    </row>
    <row r="17" spans="1:11" x14ac:dyDescent="0.25">
      <c r="A17">
        <v>1218</v>
      </c>
      <c r="B17" t="s">
        <v>15</v>
      </c>
      <c r="C17">
        <v>19</v>
      </c>
      <c r="D17" t="str">
        <f t="shared" si="0"/>
        <v>10-20</v>
      </c>
      <c r="E17" t="s">
        <v>16</v>
      </c>
      <c r="F17" t="s">
        <v>21</v>
      </c>
      <c r="G17" t="s">
        <v>38</v>
      </c>
      <c r="H17">
        <v>15</v>
      </c>
      <c r="I17">
        <v>2352</v>
      </c>
      <c r="J17" t="s">
        <v>23</v>
      </c>
      <c r="K17">
        <v>1</v>
      </c>
    </row>
    <row r="18" spans="1:11" x14ac:dyDescent="0.25">
      <c r="A18">
        <v>1224</v>
      </c>
      <c r="B18" t="s">
        <v>28</v>
      </c>
      <c r="C18">
        <v>20</v>
      </c>
      <c r="D18" t="str">
        <f t="shared" si="0"/>
        <v>10-20</v>
      </c>
      <c r="E18" t="s">
        <v>11</v>
      </c>
      <c r="F18" t="s">
        <v>35</v>
      </c>
      <c r="G18" t="s">
        <v>13</v>
      </c>
      <c r="H18">
        <v>17</v>
      </c>
      <c r="I18">
        <v>867</v>
      </c>
      <c r="J18" t="s">
        <v>43</v>
      </c>
      <c r="K18">
        <v>10</v>
      </c>
    </row>
    <row r="19" spans="1:11" x14ac:dyDescent="0.25">
      <c r="A19">
        <v>1233</v>
      </c>
      <c r="B19" t="s">
        <v>46</v>
      </c>
      <c r="C19">
        <v>20</v>
      </c>
      <c r="D19" t="str">
        <f t="shared" si="0"/>
        <v>10-20</v>
      </c>
      <c r="E19" t="s">
        <v>16</v>
      </c>
      <c r="F19" t="s">
        <v>12</v>
      </c>
      <c r="G19" t="s">
        <v>22</v>
      </c>
      <c r="H19">
        <v>11</v>
      </c>
      <c r="I19">
        <v>2543</v>
      </c>
      <c r="J19" t="s">
        <v>19</v>
      </c>
      <c r="K19">
        <v>10</v>
      </c>
    </row>
    <row r="20" spans="1:11" x14ac:dyDescent="0.25">
      <c r="A20">
        <v>1248</v>
      </c>
      <c r="B20" t="s">
        <v>31</v>
      </c>
      <c r="C20">
        <v>19</v>
      </c>
      <c r="D20" t="str">
        <f t="shared" si="0"/>
        <v>10-20</v>
      </c>
      <c r="E20" t="s">
        <v>11</v>
      </c>
      <c r="F20" t="s">
        <v>25</v>
      </c>
      <c r="G20" t="s">
        <v>13</v>
      </c>
      <c r="H20">
        <v>29</v>
      </c>
      <c r="I20">
        <v>2306</v>
      </c>
      <c r="J20" t="s">
        <v>14</v>
      </c>
      <c r="K20">
        <v>1</v>
      </c>
    </row>
    <row r="21" spans="1:11" x14ac:dyDescent="0.25">
      <c r="A21">
        <v>1004</v>
      </c>
      <c r="B21" t="s">
        <v>24</v>
      </c>
      <c r="C21">
        <v>25</v>
      </c>
      <c r="D21" t="str">
        <f t="shared" si="0"/>
        <v>21-30</v>
      </c>
      <c r="E21" t="s">
        <v>11</v>
      </c>
      <c r="F21" t="s">
        <v>25</v>
      </c>
      <c r="G21" t="s">
        <v>18</v>
      </c>
      <c r="H21">
        <v>30</v>
      </c>
      <c r="I21">
        <v>2516</v>
      </c>
      <c r="J21" t="s">
        <v>23</v>
      </c>
      <c r="K21">
        <v>7</v>
      </c>
    </row>
    <row r="22" spans="1:11" x14ac:dyDescent="0.25">
      <c r="A22">
        <v>1005</v>
      </c>
      <c r="B22" t="s">
        <v>26</v>
      </c>
      <c r="C22">
        <v>30</v>
      </c>
      <c r="D22" t="str">
        <f t="shared" si="0"/>
        <v>21-30</v>
      </c>
      <c r="E22" t="s">
        <v>16</v>
      </c>
      <c r="F22" t="s">
        <v>27</v>
      </c>
      <c r="G22" t="s">
        <v>13</v>
      </c>
      <c r="H22">
        <v>13</v>
      </c>
      <c r="I22">
        <v>564</v>
      </c>
      <c r="J22" t="s">
        <v>14</v>
      </c>
      <c r="K22">
        <v>2</v>
      </c>
    </row>
    <row r="23" spans="1:11" x14ac:dyDescent="0.25">
      <c r="A23">
        <v>1006</v>
      </c>
      <c r="B23" t="s">
        <v>28</v>
      </c>
      <c r="C23">
        <v>29</v>
      </c>
      <c r="D23" t="str">
        <f t="shared" si="0"/>
        <v>21-30</v>
      </c>
      <c r="E23" t="s">
        <v>16</v>
      </c>
      <c r="F23" t="s">
        <v>27</v>
      </c>
      <c r="G23" t="s">
        <v>29</v>
      </c>
      <c r="H23">
        <v>9</v>
      </c>
      <c r="I23">
        <v>1872</v>
      </c>
      <c r="J23" t="s">
        <v>30</v>
      </c>
      <c r="K23">
        <v>2</v>
      </c>
    </row>
    <row r="24" spans="1:11" x14ac:dyDescent="0.25">
      <c r="A24">
        <v>1007</v>
      </c>
      <c r="B24" t="s">
        <v>31</v>
      </c>
      <c r="C24">
        <v>23</v>
      </c>
      <c r="D24" t="str">
        <f t="shared" si="0"/>
        <v>21-30</v>
      </c>
      <c r="E24" t="s">
        <v>16</v>
      </c>
      <c r="F24" t="s">
        <v>32</v>
      </c>
      <c r="G24" t="s">
        <v>33</v>
      </c>
      <c r="H24">
        <v>5</v>
      </c>
      <c r="I24">
        <v>1446</v>
      </c>
      <c r="J24" t="s">
        <v>14</v>
      </c>
      <c r="K24">
        <v>7</v>
      </c>
    </row>
    <row r="25" spans="1:11" x14ac:dyDescent="0.25">
      <c r="A25">
        <v>1012</v>
      </c>
      <c r="B25" t="s">
        <v>42</v>
      </c>
      <c r="C25">
        <v>22</v>
      </c>
      <c r="D25" t="str">
        <f t="shared" si="0"/>
        <v>21-30</v>
      </c>
      <c r="E25" t="s">
        <v>11</v>
      </c>
      <c r="F25" t="s">
        <v>17</v>
      </c>
      <c r="G25" t="s">
        <v>18</v>
      </c>
      <c r="H25">
        <v>5</v>
      </c>
      <c r="I25">
        <v>1743</v>
      </c>
      <c r="J25" t="s">
        <v>30</v>
      </c>
      <c r="K25">
        <v>4</v>
      </c>
    </row>
    <row r="26" spans="1:11" x14ac:dyDescent="0.25">
      <c r="A26">
        <v>1015</v>
      </c>
      <c r="B26" t="s">
        <v>37</v>
      </c>
      <c r="C26">
        <v>28</v>
      </c>
      <c r="D26" t="str">
        <f t="shared" si="0"/>
        <v>21-30</v>
      </c>
      <c r="E26" t="s">
        <v>16</v>
      </c>
      <c r="F26" t="s">
        <v>35</v>
      </c>
      <c r="G26" t="s">
        <v>13</v>
      </c>
      <c r="H26">
        <v>15</v>
      </c>
      <c r="I26">
        <v>1531</v>
      </c>
      <c r="J26" t="s">
        <v>43</v>
      </c>
      <c r="K26">
        <v>8</v>
      </c>
    </row>
    <row r="27" spans="1:11" x14ac:dyDescent="0.25">
      <c r="A27">
        <v>1020</v>
      </c>
      <c r="B27" t="s">
        <v>26</v>
      </c>
      <c r="C27">
        <v>21</v>
      </c>
      <c r="D27" t="str">
        <f t="shared" si="0"/>
        <v>21-30</v>
      </c>
      <c r="E27" t="s">
        <v>16</v>
      </c>
      <c r="F27" t="s">
        <v>17</v>
      </c>
      <c r="G27" t="s">
        <v>41</v>
      </c>
      <c r="H27">
        <v>25</v>
      </c>
      <c r="I27">
        <v>2831</v>
      </c>
      <c r="J27" t="s">
        <v>19</v>
      </c>
      <c r="K27">
        <v>10</v>
      </c>
    </row>
    <row r="28" spans="1:11" x14ac:dyDescent="0.25">
      <c r="A28">
        <v>1022</v>
      </c>
      <c r="B28" t="s">
        <v>47</v>
      </c>
      <c r="C28">
        <v>26</v>
      </c>
      <c r="D28" t="str">
        <f t="shared" si="0"/>
        <v>21-30</v>
      </c>
      <c r="E28" t="s">
        <v>16</v>
      </c>
      <c r="F28" t="s">
        <v>35</v>
      </c>
      <c r="G28" t="s">
        <v>41</v>
      </c>
      <c r="H28">
        <v>26</v>
      </c>
      <c r="I28">
        <v>884</v>
      </c>
      <c r="J28" t="s">
        <v>30</v>
      </c>
      <c r="K28">
        <v>10</v>
      </c>
    </row>
    <row r="29" spans="1:11" x14ac:dyDescent="0.25">
      <c r="A29">
        <v>1023</v>
      </c>
      <c r="B29" t="s">
        <v>34</v>
      </c>
      <c r="C29">
        <v>30</v>
      </c>
      <c r="D29" t="str">
        <f t="shared" si="0"/>
        <v>21-30</v>
      </c>
      <c r="E29" t="s">
        <v>16</v>
      </c>
      <c r="F29" t="s">
        <v>27</v>
      </c>
      <c r="G29" t="s">
        <v>18</v>
      </c>
      <c r="H29">
        <v>23</v>
      </c>
      <c r="I29">
        <v>1359</v>
      </c>
      <c r="J29" t="s">
        <v>14</v>
      </c>
      <c r="K29">
        <v>5</v>
      </c>
    </row>
    <row r="30" spans="1:11" x14ac:dyDescent="0.25">
      <c r="A30">
        <v>1025</v>
      </c>
      <c r="B30" t="s">
        <v>47</v>
      </c>
      <c r="C30">
        <v>25</v>
      </c>
      <c r="D30" t="str">
        <f t="shared" si="0"/>
        <v>21-30</v>
      </c>
      <c r="E30" t="s">
        <v>16</v>
      </c>
      <c r="F30" t="s">
        <v>35</v>
      </c>
      <c r="G30" t="s">
        <v>13</v>
      </c>
      <c r="H30">
        <v>5</v>
      </c>
      <c r="I30">
        <v>1965</v>
      </c>
      <c r="J30" t="s">
        <v>19</v>
      </c>
      <c r="K30">
        <v>3</v>
      </c>
    </row>
    <row r="31" spans="1:11" x14ac:dyDescent="0.25">
      <c r="A31">
        <v>1026</v>
      </c>
      <c r="B31" t="s">
        <v>39</v>
      </c>
      <c r="C31">
        <v>30</v>
      </c>
      <c r="D31" t="str">
        <f t="shared" si="0"/>
        <v>21-30</v>
      </c>
      <c r="E31" t="s">
        <v>16</v>
      </c>
      <c r="F31" t="s">
        <v>49</v>
      </c>
      <c r="G31" t="s">
        <v>41</v>
      </c>
      <c r="H31">
        <v>9</v>
      </c>
      <c r="I31">
        <v>2395</v>
      </c>
      <c r="J31" t="s">
        <v>30</v>
      </c>
      <c r="K31">
        <v>6</v>
      </c>
    </row>
    <row r="32" spans="1:11" x14ac:dyDescent="0.25">
      <c r="A32">
        <v>1032</v>
      </c>
      <c r="B32" t="s">
        <v>46</v>
      </c>
      <c r="C32">
        <v>21</v>
      </c>
      <c r="D32" t="str">
        <f t="shared" si="0"/>
        <v>21-30</v>
      </c>
      <c r="E32" t="s">
        <v>16</v>
      </c>
      <c r="F32" t="s">
        <v>27</v>
      </c>
      <c r="G32" t="s">
        <v>22</v>
      </c>
      <c r="H32">
        <v>18</v>
      </c>
      <c r="I32">
        <v>1716</v>
      </c>
      <c r="J32" t="s">
        <v>30</v>
      </c>
      <c r="K32">
        <v>2</v>
      </c>
    </row>
    <row r="33" spans="1:11" x14ac:dyDescent="0.25">
      <c r="A33">
        <v>1037</v>
      </c>
      <c r="B33" t="s">
        <v>42</v>
      </c>
      <c r="C33">
        <v>28</v>
      </c>
      <c r="D33" t="str">
        <f t="shared" si="0"/>
        <v>21-30</v>
      </c>
      <c r="E33" t="s">
        <v>16</v>
      </c>
      <c r="F33" t="s">
        <v>35</v>
      </c>
      <c r="G33" t="s">
        <v>22</v>
      </c>
      <c r="H33">
        <v>20</v>
      </c>
      <c r="I33">
        <v>2353</v>
      </c>
      <c r="J33" t="s">
        <v>14</v>
      </c>
      <c r="K33">
        <v>10</v>
      </c>
    </row>
    <row r="34" spans="1:11" x14ac:dyDescent="0.25">
      <c r="A34">
        <v>1047</v>
      </c>
      <c r="B34" t="s">
        <v>37</v>
      </c>
      <c r="C34">
        <v>28</v>
      </c>
      <c r="D34" t="str">
        <f t="shared" si="0"/>
        <v>21-30</v>
      </c>
      <c r="E34" t="s">
        <v>16</v>
      </c>
      <c r="F34" t="s">
        <v>32</v>
      </c>
      <c r="G34" t="s">
        <v>33</v>
      </c>
      <c r="H34">
        <v>15</v>
      </c>
      <c r="I34">
        <v>2852</v>
      </c>
      <c r="J34" t="s">
        <v>23</v>
      </c>
      <c r="K34">
        <v>7</v>
      </c>
    </row>
    <row r="35" spans="1:11" x14ac:dyDescent="0.25">
      <c r="A35">
        <v>1048</v>
      </c>
      <c r="B35" t="s">
        <v>51</v>
      </c>
      <c r="C35">
        <v>26</v>
      </c>
      <c r="D35" t="str">
        <f t="shared" si="0"/>
        <v>21-30</v>
      </c>
      <c r="E35" t="s">
        <v>16</v>
      </c>
      <c r="F35" t="s">
        <v>12</v>
      </c>
      <c r="G35" t="s">
        <v>29</v>
      </c>
      <c r="H35">
        <v>26</v>
      </c>
      <c r="I35">
        <v>1401</v>
      </c>
      <c r="J35" t="s">
        <v>19</v>
      </c>
      <c r="K35">
        <v>5</v>
      </c>
    </row>
    <row r="36" spans="1:11" x14ac:dyDescent="0.25">
      <c r="A36">
        <v>1050</v>
      </c>
      <c r="B36" t="s">
        <v>50</v>
      </c>
      <c r="C36">
        <v>24</v>
      </c>
      <c r="D36" t="str">
        <f t="shared" si="0"/>
        <v>21-30</v>
      </c>
      <c r="E36" t="s">
        <v>11</v>
      </c>
      <c r="F36" t="s">
        <v>12</v>
      </c>
      <c r="G36" t="s">
        <v>22</v>
      </c>
      <c r="H36">
        <v>28</v>
      </c>
      <c r="I36">
        <v>1084</v>
      </c>
      <c r="J36" t="s">
        <v>30</v>
      </c>
      <c r="K36">
        <v>6</v>
      </c>
    </row>
    <row r="37" spans="1:11" x14ac:dyDescent="0.25">
      <c r="A37">
        <v>1052</v>
      </c>
      <c r="B37" t="s">
        <v>52</v>
      </c>
      <c r="C37">
        <v>24</v>
      </c>
      <c r="D37" t="str">
        <f t="shared" si="0"/>
        <v>21-30</v>
      </c>
      <c r="E37" t="s">
        <v>16</v>
      </c>
      <c r="F37" t="s">
        <v>12</v>
      </c>
      <c r="G37" t="s">
        <v>38</v>
      </c>
      <c r="H37">
        <v>9</v>
      </c>
      <c r="I37">
        <v>1473</v>
      </c>
      <c r="J37" t="s">
        <v>14</v>
      </c>
      <c r="K37">
        <v>6</v>
      </c>
    </row>
    <row r="38" spans="1:11" x14ac:dyDescent="0.25">
      <c r="A38">
        <v>1053</v>
      </c>
      <c r="B38" t="s">
        <v>51</v>
      </c>
      <c r="C38">
        <v>27</v>
      </c>
      <c r="D38" t="str">
        <f t="shared" si="0"/>
        <v>21-30</v>
      </c>
      <c r="E38" t="s">
        <v>16</v>
      </c>
      <c r="F38" t="s">
        <v>21</v>
      </c>
      <c r="G38" t="s">
        <v>29</v>
      </c>
      <c r="H38">
        <v>7</v>
      </c>
      <c r="I38">
        <v>731</v>
      </c>
      <c r="J38" t="s">
        <v>19</v>
      </c>
      <c r="K38">
        <v>0</v>
      </c>
    </row>
    <row r="39" spans="1:11" x14ac:dyDescent="0.25">
      <c r="A39">
        <v>1067</v>
      </c>
      <c r="B39" t="s">
        <v>31</v>
      </c>
      <c r="C39">
        <v>28</v>
      </c>
      <c r="D39" t="str">
        <f t="shared" si="0"/>
        <v>21-30</v>
      </c>
      <c r="E39" t="s">
        <v>11</v>
      </c>
      <c r="F39" t="s">
        <v>49</v>
      </c>
      <c r="G39" t="s">
        <v>22</v>
      </c>
      <c r="H39">
        <v>27</v>
      </c>
      <c r="I39">
        <v>558</v>
      </c>
      <c r="J39" t="s">
        <v>36</v>
      </c>
      <c r="K39">
        <v>3</v>
      </c>
    </row>
    <row r="40" spans="1:11" x14ac:dyDescent="0.25">
      <c r="A40">
        <v>1072</v>
      </c>
      <c r="B40" t="s">
        <v>20</v>
      </c>
      <c r="C40">
        <v>24</v>
      </c>
      <c r="D40" t="str">
        <f t="shared" si="0"/>
        <v>21-30</v>
      </c>
      <c r="E40" t="s">
        <v>11</v>
      </c>
      <c r="F40" t="s">
        <v>32</v>
      </c>
      <c r="G40" t="s">
        <v>41</v>
      </c>
      <c r="H40">
        <v>22</v>
      </c>
      <c r="I40">
        <v>943</v>
      </c>
      <c r="J40" t="s">
        <v>14</v>
      </c>
      <c r="K40">
        <v>5</v>
      </c>
    </row>
    <row r="41" spans="1:11" x14ac:dyDescent="0.25">
      <c r="A41">
        <v>1078</v>
      </c>
      <c r="B41" t="s">
        <v>15</v>
      </c>
      <c r="C41">
        <v>24</v>
      </c>
      <c r="D41" t="str">
        <f t="shared" si="0"/>
        <v>21-30</v>
      </c>
      <c r="E41" t="s">
        <v>11</v>
      </c>
      <c r="F41" t="s">
        <v>27</v>
      </c>
      <c r="G41" t="s">
        <v>41</v>
      </c>
      <c r="H41">
        <v>6</v>
      </c>
      <c r="I41">
        <v>1771</v>
      </c>
      <c r="J41" t="s">
        <v>23</v>
      </c>
      <c r="K41">
        <v>3</v>
      </c>
    </row>
    <row r="42" spans="1:11" x14ac:dyDescent="0.25">
      <c r="A42">
        <v>1087</v>
      </c>
      <c r="B42" t="s">
        <v>47</v>
      </c>
      <c r="C42">
        <v>25</v>
      </c>
      <c r="D42" t="str">
        <f t="shared" si="0"/>
        <v>21-30</v>
      </c>
      <c r="E42" t="s">
        <v>11</v>
      </c>
      <c r="F42" t="s">
        <v>35</v>
      </c>
      <c r="G42" t="s">
        <v>13</v>
      </c>
      <c r="H42">
        <v>5</v>
      </c>
      <c r="I42">
        <v>661</v>
      </c>
      <c r="J42" t="s">
        <v>36</v>
      </c>
      <c r="K42">
        <v>6</v>
      </c>
    </row>
    <row r="43" spans="1:11" x14ac:dyDescent="0.25">
      <c r="A43">
        <v>1091</v>
      </c>
      <c r="B43" t="s">
        <v>50</v>
      </c>
      <c r="C43">
        <v>25</v>
      </c>
      <c r="D43" t="str">
        <f t="shared" si="0"/>
        <v>21-30</v>
      </c>
      <c r="E43" t="s">
        <v>16</v>
      </c>
      <c r="F43" t="s">
        <v>32</v>
      </c>
      <c r="G43" t="s">
        <v>22</v>
      </c>
      <c r="H43">
        <v>13</v>
      </c>
      <c r="I43">
        <v>761</v>
      </c>
      <c r="J43" t="s">
        <v>36</v>
      </c>
      <c r="K43">
        <v>6</v>
      </c>
    </row>
    <row r="44" spans="1:11" x14ac:dyDescent="0.25">
      <c r="A44">
        <v>1097</v>
      </c>
      <c r="B44" t="s">
        <v>46</v>
      </c>
      <c r="C44">
        <v>26</v>
      </c>
      <c r="D44" t="str">
        <f t="shared" si="0"/>
        <v>21-30</v>
      </c>
      <c r="E44" t="s">
        <v>11</v>
      </c>
      <c r="F44" t="s">
        <v>32</v>
      </c>
      <c r="G44" t="s">
        <v>38</v>
      </c>
      <c r="H44">
        <v>22</v>
      </c>
      <c r="I44">
        <v>691</v>
      </c>
      <c r="J44" t="s">
        <v>43</v>
      </c>
      <c r="K44">
        <v>10</v>
      </c>
    </row>
    <row r="45" spans="1:11" x14ac:dyDescent="0.25">
      <c r="A45">
        <v>1098</v>
      </c>
      <c r="B45" t="s">
        <v>37</v>
      </c>
      <c r="C45">
        <v>25</v>
      </c>
      <c r="D45" t="str">
        <f t="shared" si="0"/>
        <v>21-30</v>
      </c>
      <c r="E45" t="s">
        <v>11</v>
      </c>
      <c r="F45" t="s">
        <v>49</v>
      </c>
      <c r="G45" t="s">
        <v>22</v>
      </c>
      <c r="H45">
        <v>25</v>
      </c>
      <c r="I45">
        <v>2791</v>
      </c>
      <c r="J45" t="s">
        <v>19</v>
      </c>
      <c r="K45">
        <v>9</v>
      </c>
    </row>
    <row r="46" spans="1:11" x14ac:dyDescent="0.25">
      <c r="A46">
        <v>1099</v>
      </c>
      <c r="B46" t="s">
        <v>37</v>
      </c>
      <c r="C46">
        <v>30</v>
      </c>
      <c r="D46" t="str">
        <f t="shared" si="0"/>
        <v>21-30</v>
      </c>
      <c r="E46" t="s">
        <v>11</v>
      </c>
      <c r="F46" t="s">
        <v>21</v>
      </c>
      <c r="G46" t="s">
        <v>18</v>
      </c>
      <c r="H46">
        <v>27</v>
      </c>
      <c r="I46">
        <v>1649</v>
      </c>
      <c r="J46" t="s">
        <v>43</v>
      </c>
      <c r="K46">
        <v>5</v>
      </c>
    </row>
    <row r="47" spans="1:11" x14ac:dyDescent="0.25">
      <c r="A47">
        <v>1100</v>
      </c>
      <c r="B47" t="s">
        <v>44</v>
      </c>
      <c r="C47">
        <v>26</v>
      </c>
      <c r="D47" t="str">
        <f t="shared" si="0"/>
        <v>21-30</v>
      </c>
      <c r="E47" t="s">
        <v>16</v>
      </c>
      <c r="F47" t="s">
        <v>25</v>
      </c>
      <c r="G47" t="s">
        <v>13</v>
      </c>
      <c r="H47">
        <v>25</v>
      </c>
      <c r="I47">
        <v>2194</v>
      </c>
      <c r="J47" t="s">
        <v>14</v>
      </c>
      <c r="K47">
        <v>8</v>
      </c>
    </row>
    <row r="48" spans="1:11" x14ac:dyDescent="0.25">
      <c r="A48">
        <v>1101</v>
      </c>
      <c r="B48" t="s">
        <v>28</v>
      </c>
      <c r="C48">
        <v>30</v>
      </c>
      <c r="D48" t="str">
        <f t="shared" si="0"/>
        <v>21-30</v>
      </c>
      <c r="E48" t="s">
        <v>11</v>
      </c>
      <c r="F48" t="s">
        <v>12</v>
      </c>
      <c r="G48" t="s">
        <v>22</v>
      </c>
      <c r="H48">
        <v>18</v>
      </c>
      <c r="I48">
        <v>675</v>
      </c>
      <c r="J48" t="s">
        <v>23</v>
      </c>
      <c r="K48">
        <v>10</v>
      </c>
    </row>
    <row r="49" spans="1:11" x14ac:dyDescent="0.25">
      <c r="A49">
        <v>1102</v>
      </c>
      <c r="B49" t="s">
        <v>15</v>
      </c>
      <c r="C49">
        <v>27</v>
      </c>
      <c r="D49" t="str">
        <f t="shared" si="0"/>
        <v>21-30</v>
      </c>
      <c r="E49" t="s">
        <v>11</v>
      </c>
      <c r="F49" t="s">
        <v>32</v>
      </c>
      <c r="G49" t="s">
        <v>22</v>
      </c>
      <c r="H49">
        <v>12</v>
      </c>
      <c r="I49">
        <v>1179</v>
      </c>
      <c r="J49" t="s">
        <v>14</v>
      </c>
      <c r="K49">
        <v>9</v>
      </c>
    </row>
    <row r="50" spans="1:11" x14ac:dyDescent="0.25">
      <c r="A50">
        <v>1104</v>
      </c>
      <c r="B50" t="s">
        <v>28</v>
      </c>
      <c r="C50">
        <v>26</v>
      </c>
      <c r="D50" t="str">
        <f t="shared" si="0"/>
        <v>21-30</v>
      </c>
      <c r="E50" t="s">
        <v>11</v>
      </c>
      <c r="F50" t="s">
        <v>35</v>
      </c>
      <c r="G50" t="s">
        <v>33</v>
      </c>
      <c r="H50">
        <v>18</v>
      </c>
      <c r="I50">
        <v>2300</v>
      </c>
      <c r="J50" t="s">
        <v>30</v>
      </c>
      <c r="K50">
        <v>9</v>
      </c>
    </row>
    <row r="51" spans="1:11" x14ac:dyDescent="0.25">
      <c r="A51">
        <v>1106</v>
      </c>
      <c r="B51" t="s">
        <v>31</v>
      </c>
      <c r="C51">
        <v>27</v>
      </c>
      <c r="D51" t="str">
        <f t="shared" si="0"/>
        <v>21-30</v>
      </c>
      <c r="E51" t="s">
        <v>16</v>
      </c>
      <c r="F51" t="s">
        <v>21</v>
      </c>
      <c r="G51" t="s">
        <v>33</v>
      </c>
      <c r="H51">
        <v>20</v>
      </c>
      <c r="I51">
        <v>814</v>
      </c>
      <c r="J51" t="s">
        <v>14</v>
      </c>
      <c r="K51">
        <v>7</v>
      </c>
    </row>
    <row r="52" spans="1:11" x14ac:dyDescent="0.25">
      <c r="A52">
        <v>1107</v>
      </c>
      <c r="B52" t="s">
        <v>47</v>
      </c>
      <c r="C52">
        <v>26</v>
      </c>
      <c r="D52" t="str">
        <f t="shared" si="0"/>
        <v>21-30</v>
      </c>
      <c r="E52" t="s">
        <v>16</v>
      </c>
      <c r="F52" t="s">
        <v>49</v>
      </c>
      <c r="G52" t="s">
        <v>13</v>
      </c>
      <c r="H52">
        <v>23</v>
      </c>
      <c r="I52">
        <v>2490</v>
      </c>
      <c r="J52" t="s">
        <v>23</v>
      </c>
      <c r="K52">
        <v>10</v>
      </c>
    </row>
    <row r="53" spans="1:11" x14ac:dyDescent="0.25">
      <c r="A53">
        <v>1108</v>
      </c>
      <c r="B53" t="s">
        <v>48</v>
      </c>
      <c r="C53">
        <v>22</v>
      </c>
      <c r="D53" t="str">
        <f t="shared" si="0"/>
        <v>21-30</v>
      </c>
      <c r="E53" t="s">
        <v>11</v>
      </c>
      <c r="F53" t="s">
        <v>27</v>
      </c>
      <c r="G53" t="s">
        <v>13</v>
      </c>
      <c r="H53">
        <v>28</v>
      </c>
      <c r="I53">
        <v>1949</v>
      </c>
      <c r="J53" t="s">
        <v>30</v>
      </c>
      <c r="K53">
        <v>2</v>
      </c>
    </row>
    <row r="54" spans="1:11" x14ac:dyDescent="0.25">
      <c r="A54">
        <v>1111</v>
      </c>
      <c r="B54" t="s">
        <v>45</v>
      </c>
      <c r="C54">
        <v>25</v>
      </c>
      <c r="D54" t="str">
        <f t="shared" si="0"/>
        <v>21-30</v>
      </c>
      <c r="E54" t="s">
        <v>11</v>
      </c>
      <c r="F54" t="s">
        <v>27</v>
      </c>
      <c r="G54" t="s">
        <v>22</v>
      </c>
      <c r="H54">
        <v>30</v>
      </c>
      <c r="I54">
        <v>2784</v>
      </c>
      <c r="J54" t="s">
        <v>23</v>
      </c>
      <c r="K54">
        <v>1</v>
      </c>
    </row>
    <row r="55" spans="1:11" x14ac:dyDescent="0.25">
      <c r="A55">
        <v>1112</v>
      </c>
      <c r="B55" t="s">
        <v>51</v>
      </c>
      <c r="C55">
        <v>29</v>
      </c>
      <c r="D55" t="str">
        <f t="shared" si="0"/>
        <v>21-30</v>
      </c>
      <c r="E55" t="s">
        <v>11</v>
      </c>
      <c r="F55" t="s">
        <v>32</v>
      </c>
      <c r="G55" t="s">
        <v>22</v>
      </c>
      <c r="H55">
        <v>24</v>
      </c>
      <c r="I55">
        <v>1071</v>
      </c>
      <c r="J55" t="s">
        <v>43</v>
      </c>
      <c r="K55">
        <v>0</v>
      </c>
    </row>
    <row r="56" spans="1:11" x14ac:dyDescent="0.25">
      <c r="A56">
        <v>1118</v>
      </c>
      <c r="B56" t="s">
        <v>46</v>
      </c>
      <c r="C56">
        <v>26</v>
      </c>
      <c r="D56" t="str">
        <f t="shared" si="0"/>
        <v>21-30</v>
      </c>
      <c r="E56" t="s">
        <v>16</v>
      </c>
      <c r="F56" t="s">
        <v>27</v>
      </c>
      <c r="G56" t="s">
        <v>18</v>
      </c>
      <c r="H56">
        <v>27</v>
      </c>
      <c r="I56">
        <v>1484</v>
      </c>
      <c r="J56" t="s">
        <v>19</v>
      </c>
      <c r="K56">
        <v>6</v>
      </c>
    </row>
    <row r="57" spans="1:11" x14ac:dyDescent="0.25">
      <c r="A57">
        <v>1119</v>
      </c>
      <c r="B57" t="s">
        <v>15</v>
      </c>
      <c r="C57">
        <v>24</v>
      </c>
      <c r="D57" t="str">
        <f t="shared" si="0"/>
        <v>21-30</v>
      </c>
      <c r="E57" t="s">
        <v>16</v>
      </c>
      <c r="F57" t="s">
        <v>35</v>
      </c>
      <c r="G57" t="s">
        <v>22</v>
      </c>
      <c r="H57">
        <v>25</v>
      </c>
      <c r="I57">
        <v>1253</v>
      </c>
      <c r="J57" t="s">
        <v>19</v>
      </c>
      <c r="K57">
        <v>5</v>
      </c>
    </row>
    <row r="58" spans="1:11" x14ac:dyDescent="0.25">
      <c r="A58">
        <v>1121</v>
      </c>
      <c r="B58" t="s">
        <v>45</v>
      </c>
      <c r="C58">
        <v>26</v>
      </c>
      <c r="D58" t="str">
        <f t="shared" si="0"/>
        <v>21-30</v>
      </c>
      <c r="E58" t="s">
        <v>16</v>
      </c>
      <c r="F58" t="s">
        <v>32</v>
      </c>
      <c r="G58" t="s">
        <v>13</v>
      </c>
      <c r="H58">
        <v>23</v>
      </c>
      <c r="I58">
        <v>1108</v>
      </c>
      <c r="J58" t="s">
        <v>43</v>
      </c>
      <c r="K58">
        <v>10</v>
      </c>
    </row>
    <row r="59" spans="1:11" x14ac:dyDescent="0.25">
      <c r="A59">
        <v>1124</v>
      </c>
      <c r="B59" t="s">
        <v>42</v>
      </c>
      <c r="C59">
        <v>23</v>
      </c>
      <c r="D59" t="str">
        <f t="shared" si="0"/>
        <v>21-30</v>
      </c>
      <c r="E59" t="s">
        <v>16</v>
      </c>
      <c r="F59" t="s">
        <v>35</v>
      </c>
      <c r="G59" t="s">
        <v>41</v>
      </c>
      <c r="H59">
        <v>10</v>
      </c>
      <c r="I59">
        <v>707</v>
      </c>
      <c r="J59" t="s">
        <v>43</v>
      </c>
      <c r="K59">
        <v>9</v>
      </c>
    </row>
    <row r="60" spans="1:11" x14ac:dyDescent="0.25">
      <c r="A60">
        <v>1126</v>
      </c>
      <c r="B60" t="s">
        <v>15</v>
      </c>
      <c r="C60">
        <v>25</v>
      </c>
      <c r="D60" t="str">
        <f t="shared" si="0"/>
        <v>21-30</v>
      </c>
      <c r="E60" t="s">
        <v>11</v>
      </c>
      <c r="F60" t="s">
        <v>49</v>
      </c>
      <c r="G60" t="s">
        <v>22</v>
      </c>
      <c r="H60">
        <v>20</v>
      </c>
      <c r="I60">
        <v>1146</v>
      </c>
      <c r="J60" t="s">
        <v>43</v>
      </c>
      <c r="K60">
        <v>7</v>
      </c>
    </row>
    <row r="61" spans="1:11" x14ac:dyDescent="0.25">
      <c r="A61">
        <v>1137</v>
      </c>
      <c r="B61" t="s">
        <v>52</v>
      </c>
      <c r="C61">
        <v>21</v>
      </c>
      <c r="D61" t="str">
        <f t="shared" si="0"/>
        <v>21-30</v>
      </c>
      <c r="E61" t="s">
        <v>11</v>
      </c>
      <c r="F61" t="s">
        <v>25</v>
      </c>
      <c r="G61" t="s">
        <v>41</v>
      </c>
      <c r="H61">
        <v>29</v>
      </c>
      <c r="I61">
        <v>2736</v>
      </c>
      <c r="J61" t="s">
        <v>23</v>
      </c>
      <c r="K61">
        <v>2</v>
      </c>
    </row>
    <row r="62" spans="1:11" x14ac:dyDescent="0.25">
      <c r="A62">
        <v>1138</v>
      </c>
      <c r="B62" t="s">
        <v>45</v>
      </c>
      <c r="C62">
        <v>29</v>
      </c>
      <c r="D62" t="str">
        <f t="shared" si="0"/>
        <v>21-30</v>
      </c>
      <c r="E62" t="s">
        <v>16</v>
      </c>
      <c r="F62" t="s">
        <v>12</v>
      </c>
      <c r="G62" t="s">
        <v>13</v>
      </c>
      <c r="H62">
        <v>22</v>
      </c>
      <c r="I62">
        <v>1676</v>
      </c>
      <c r="J62" t="s">
        <v>30</v>
      </c>
      <c r="K62">
        <v>1</v>
      </c>
    </row>
    <row r="63" spans="1:11" x14ac:dyDescent="0.25">
      <c r="A63">
        <v>1142</v>
      </c>
      <c r="B63" t="s">
        <v>40</v>
      </c>
      <c r="C63">
        <v>30</v>
      </c>
      <c r="D63" t="str">
        <f t="shared" si="0"/>
        <v>21-30</v>
      </c>
      <c r="E63" t="s">
        <v>11</v>
      </c>
      <c r="F63" t="s">
        <v>17</v>
      </c>
      <c r="G63" t="s">
        <v>18</v>
      </c>
      <c r="H63">
        <v>25</v>
      </c>
      <c r="I63">
        <v>1465</v>
      </c>
      <c r="J63" t="s">
        <v>19</v>
      </c>
      <c r="K63">
        <v>7</v>
      </c>
    </row>
    <row r="64" spans="1:11" x14ac:dyDescent="0.25">
      <c r="A64">
        <v>1143</v>
      </c>
      <c r="B64" t="s">
        <v>47</v>
      </c>
      <c r="C64">
        <v>24</v>
      </c>
      <c r="D64" t="str">
        <f t="shared" si="0"/>
        <v>21-30</v>
      </c>
      <c r="E64" t="s">
        <v>16</v>
      </c>
      <c r="F64" t="s">
        <v>12</v>
      </c>
      <c r="G64" t="s">
        <v>22</v>
      </c>
      <c r="H64">
        <v>14</v>
      </c>
      <c r="I64">
        <v>1542</v>
      </c>
      <c r="J64" t="s">
        <v>14</v>
      </c>
      <c r="K64">
        <v>10</v>
      </c>
    </row>
    <row r="65" spans="1:11" x14ac:dyDescent="0.25">
      <c r="A65">
        <v>1144</v>
      </c>
      <c r="B65" t="s">
        <v>45</v>
      </c>
      <c r="C65">
        <v>21</v>
      </c>
      <c r="D65" t="str">
        <f t="shared" si="0"/>
        <v>21-30</v>
      </c>
      <c r="E65" t="s">
        <v>16</v>
      </c>
      <c r="F65" t="s">
        <v>12</v>
      </c>
      <c r="G65" t="s">
        <v>22</v>
      </c>
      <c r="H65">
        <v>10</v>
      </c>
      <c r="I65">
        <v>2584</v>
      </c>
      <c r="J65" t="s">
        <v>19</v>
      </c>
      <c r="K65">
        <v>0</v>
      </c>
    </row>
    <row r="66" spans="1:11" x14ac:dyDescent="0.25">
      <c r="A66">
        <v>1147</v>
      </c>
      <c r="B66" t="s">
        <v>45</v>
      </c>
      <c r="C66">
        <v>22</v>
      </c>
      <c r="D66" t="str">
        <f t="shared" ref="D66:D129" si="1">IF(C66&lt;=20,"10-20",IF(C66&lt;=30,"21-30",IF(C66&lt;=40,"31-40",IF(C66&lt;=50,"41-50","51-60"))))</f>
        <v>21-30</v>
      </c>
      <c r="E66" t="s">
        <v>11</v>
      </c>
      <c r="F66" t="s">
        <v>32</v>
      </c>
      <c r="G66" t="s">
        <v>29</v>
      </c>
      <c r="H66">
        <v>27</v>
      </c>
      <c r="I66">
        <v>1401</v>
      </c>
      <c r="J66" t="s">
        <v>43</v>
      </c>
      <c r="K66">
        <v>2</v>
      </c>
    </row>
    <row r="67" spans="1:11" x14ac:dyDescent="0.25">
      <c r="A67">
        <v>1148</v>
      </c>
      <c r="B67" t="s">
        <v>46</v>
      </c>
      <c r="C67">
        <v>21</v>
      </c>
      <c r="D67" t="str">
        <f t="shared" si="1"/>
        <v>21-30</v>
      </c>
      <c r="E67" t="s">
        <v>16</v>
      </c>
      <c r="F67" t="s">
        <v>32</v>
      </c>
      <c r="G67" t="s">
        <v>38</v>
      </c>
      <c r="H67">
        <v>16</v>
      </c>
      <c r="I67">
        <v>1199</v>
      </c>
      <c r="J67" t="s">
        <v>43</v>
      </c>
      <c r="K67">
        <v>2</v>
      </c>
    </row>
    <row r="68" spans="1:11" x14ac:dyDescent="0.25">
      <c r="A68">
        <v>1151</v>
      </c>
      <c r="B68" t="s">
        <v>48</v>
      </c>
      <c r="C68">
        <v>25</v>
      </c>
      <c r="D68" t="str">
        <f t="shared" si="1"/>
        <v>21-30</v>
      </c>
      <c r="E68" t="s">
        <v>11</v>
      </c>
      <c r="F68" t="s">
        <v>27</v>
      </c>
      <c r="G68" t="s">
        <v>38</v>
      </c>
      <c r="H68">
        <v>13</v>
      </c>
      <c r="I68">
        <v>772</v>
      </c>
      <c r="J68" t="s">
        <v>36</v>
      </c>
      <c r="K68">
        <v>7</v>
      </c>
    </row>
    <row r="69" spans="1:11" x14ac:dyDescent="0.25">
      <c r="A69">
        <v>1154</v>
      </c>
      <c r="B69" t="s">
        <v>46</v>
      </c>
      <c r="C69">
        <v>25</v>
      </c>
      <c r="D69" t="str">
        <f t="shared" si="1"/>
        <v>21-30</v>
      </c>
      <c r="E69" t="s">
        <v>16</v>
      </c>
      <c r="F69" t="s">
        <v>35</v>
      </c>
      <c r="G69" t="s">
        <v>33</v>
      </c>
      <c r="H69">
        <v>27</v>
      </c>
      <c r="I69">
        <v>1076</v>
      </c>
      <c r="J69" t="s">
        <v>36</v>
      </c>
      <c r="K69">
        <v>5</v>
      </c>
    </row>
    <row r="70" spans="1:11" x14ac:dyDescent="0.25">
      <c r="A70">
        <v>1158</v>
      </c>
      <c r="B70" t="s">
        <v>50</v>
      </c>
      <c r="C70">
        <v>29</v>
      </c>
      <c r="D70" t="str">
        <f t="shared" si="1"/>
        <v>21-30</v>
      </c>
      <c r="E70" t="s">
        <v>11</v>
      </c>
      <c r="F70" t="s">
        <v>32</v>
      </c>
      <c r="G70" t="s">
        <v>29</v>
      </c>
      <c r="H70">
        <v>17</v>
      </c>
      <c r="I70">
        <v>1150</v>
      </c>
      <c r="J70" t="s">
        <v>43</v>
      </c>
      <c r="K70">
        <v>7</v>
      </c>
    </row>
    <row r="71" spans="1:11" x14ac:dyDescent="0.25">
      <c r="A71">
        <v>1162</v>
      </c>
      <c r="B71" t="s">
        <v>42</v>
      </c>
      <c r="C71">
        <v>22</v>
      </c>
      <c r="D71" t="str">
        <f t="shared" si="1"/>
        <v>21-30</v>
      </c>
      <c r="E71" t="s">
        <v>16</v>
      </c>
      <c r="F71" t="s">
        <v>25</v>
      </c>
      <c r="G71" t="s">
        <v>18</v>
      </c>
      <c r="H71">
        <v>6</v>
      </c>
      <c r="I71">
        <v>1980</v>
      </c>
      <c r="J71" t="s">
        <v>14</v>
      </c>
      <c r="K71">
        <v>0</v>
      </c>
    </row>
    <row r="72" spans="1:11" x14ac:dyDescent="0.25">
      <c r="A72">
        <v>1167</v>
      </c>
      <c r="B72" t="s">
        <v>51</v>
      </c>
      <c r="C72">
        <v>26</v>
      </c>
      <c r="D72" t="str">
        <f t="shared" si="1"/>
        <v>21-30</v>
      </c>
      <c r="E72" t="s">
        <v>11</v>
      </c>
      <c r="F72" t="s">
        <v>12</v>
      </c>
      <c r="G72" t="s">
        <v>29</v>
      </c>
      <c r="H72">
        <v>17</v>
      </c>
      <c r="I72">
        <v>1120</v>
      </c>
      <c r="J72" t="s">
        <v>36</v>
      </c>
      <c r="K72">
        <v>4</v>
      </c>
    </row>
    <row r="73" spans="1:11" x14ac:dyDescent="0.25">
      <c r="A73">
        <v>1170</v>
      </c>
      <c r="B73" t="s">
        <v>10</v>
      </c>
      <c r="C73">
        <v>23</v>
      </c>
      <c r="D73" t="str">
        <f t="shared" si="1"/>
        <v>21-30</v>
      </c>
      <c r="E73" t="s">
        <v>11</v>
      </c>
      <c r="F73" t="s">
        <v>27</v>
      </c>
      <c r="G73" t="s">
        <v>29</v>
      </c>
      <c r="H73">
        <v>29</v>
      </c>
      <c r="I73">
        <v>1889</v>
      </c>
      <c r="J73" t="s">
        <v>14</v>
      </c>
      <c r="K73">
        <v>5</v>
      </c>
    </row>
    <row r="74" spans="1:11" x14ac:dyDescent="0.25">
      <c r="A74">
        <v>1173</v>
      </c>
      <c r="B74" t="s">
        <v>52</v>
      </c>
      <c r="C74">
        <v>21</v>
      </c>
      <c r="D74" t="str">
        <f t="shared" si="1"/>
        <v>21-30</v>
      </c>
      <c r="E74" t="s">
        <v>16</v>
      </c>
      <c r="F74" t="s">
        <v>35</v>
      </c>
      <c r="G74" t="s">
        <v>29</v>
      </c>
      <c r="H74">
        <v>11</v>
      </c>
      <c r="I74">
        <v>937</v>
      </c>
      <c r="J74" t="s">
        <v>36</v>
      </c>
      <c r="K74">
        <v>8</v>
      </c>
    </row>
    <row r="75" spans="1:11" x14ac:dyDescent="0.25">
      <c r="A75">
        <v>1176</v>
      </c>
      <c r="B75" t="s">
        <v>20</v>
      </c>
      <c r="C75">
        <v>29</v>
      </c>
      <c r="D75" t="str">
        <f t="shared" si="1"/>
        <v>21-30</v>
      </c>
      <c r="E75" t="s">
        <v>11</v>
      </c>
      <c r="F75" t="s">
        <v>12</v>
      </c>
      <c r="G75" t="s">
        <v>13</v>
      </c>
      <c r="H75">
        <v>22</v>
      </c>
      <c r="I75">
        <v>1278</v>
      </c>
      <c r="J75" t="s">
        <v>30</v>
      </c>
      <c r="K75">
        <v>5</v>
      </c>
    </row>
    <row r="76" spans="1:11" x14ac:dyDescent="0.25">
      <c r="A76">
        <v>1178</v>
      </c>
      <c r="B76" t="s">
        <v>48</v>
      </c>
      <c r="C76">
        <v>25</v>
      </c>
      <c r="D76" t="str">
        <f t="shared" si="1"/>
        <v>21-30</v>
      </c>
      <c r="E76" t="s">
        <v>16</v>
      </c>
      <c r="F76" t="s">
        <v>12</v>
      </c>
      <c r="G76" t="s">
        <v>29</v>
      </c>
      <c r="H76">
        <v>21</v>
      </c>
      <c r="I76">
        <v>1773</v>
      </c>
      <c r="J76" t="s">
        <v>30</v>
      </c>
      <c r="K76">
        <v>5</v>
      </c>
    </row>
    <row r="77" spans="1:11" x14ac:dyDescent="0.25">
      <c r="A77">
        <v>1182</v>
      </c>
      <c r="B77" t="s">
        <v>34</v>
      </c>
      <c r="C77">
        <v>30</v>
      </c>
      <c r="D77" t="str">
        <f t="shared" si="1"/>
        <v>21-30</v>
      </c>
      <c r="E77" t="s">
        <v>16</v>
      </c>
      <c r="F77" t="s">
        <v>35</v>
      </c>
      <c r="G77" t="s">
        <v>38</v>
      </c>
      <c r="H77">
        <v>10</v>
      </c>
      <c r="I77">
        <v>2054</v>
      </c>
      <c r="J77" t="s">
        <v>23</v>
      </c>
      <c r="K77">
        <v>9</v>
      </c>
    </row>
    <row r="78" spans="1:11" x14ac:dyDescent="0.25">
      <c r="A78">
        <v>1185</v>
      </c>
      <c r="B78" t="s">
        <v>48</v>
      </c>
      <c r="C78">
        <v>21</v>
      </c>
      <c r="D78" t="str">
        <f t="shared" si="1"/>
        <v>21-30</v>
      </c>
      <c r="E78" t="s">
        <v>11</v>
      </c>
      <c r="F78" t="s">
        <v>49</v>
      </c>
      <c r="G78" t="s">
        <v>13</v>
      </c>
      <c r="H78">
        <v>21</v>
      </c>
      <c r="I78">
        <v>1702</v>
      </c>
      <c r="J78" t="s">
        <v>30</v>
      </c>
      <c r="K78">
        <v>10</v>
      </c>
    </row>
    <row r="79" spans="1:11" x14ac:dyDescent="0.25">
      <c r="A79">
        <v>1186</v>
      </c>
      <c r="B79" t="s">
        <v>50</v>
      </c>
      <c r="C79">
        <v>26</v>
      </c>
      <c r="D79" t="str">
        <f t="shared" si="1"/>
        <v>21-30</v>
      </c>
      <c r="E79" t="s">
        <v>11</v>
      </c>
      <c r="F79" t="s">
        <v>27</v>
      </c>
      <c r="G79" t="s">
        <v>29</v>
      </c>
      <c r="H79">
        <v>15</v>
      </c>
      <c r="I79">
        <v>1700</v>
      </c>
      <c r="J79" t="s">
        <v>43</v>
      </c>
      <c r="K79">
        <v>5</v>
      </c>
    </row>
    <row r="80" spans="1:11" x14ac:dyDescent="0.25">
      <c r="A80">
        <v>1189</v>
      </c>
      <c r="B80" t="s">
        <v>15</v>
      </c>
      <c r="C80">
        <v>22</v>
      </c>
      <c r="D80" t="str">
        <f t="shared" si="1"/>
        <v>21-30</v>
      </c>
      <c r="E80" t="s">
        <v>11</v>
      </c>
      <c r="F80" t="s">
        <v>12</v>
      </c>
      <c r="G80" t="s">
        <v>22</v>
      </c>
      <c r="H80">
        <v>10</v>
      </c>
      <c r="I80">
        <v>1969</v>
      </c>
      <c r="J80" t="s">
        <v>23</v>
      </c>
      <c r="K80">
        <v>10</v>
      </c>
    </row>
    <row r="81" spans="1:11" x14ac:dyDescent="0.25">
      <c r="A81">
        <v>1192</v>
      </c>
      <c r="B81" t="s">
        <v>15</v>
      </c>
      <c r="C81">
        <v>30</v>
      </c>
      <c r="D81" t="str">
        <f t="shared" si="1"/>
        <v>21-30</v>
      </c>
      <c r="E81" t="s">
        <v>16</v>
      </c>
      <c r="F81" t="s">
        <v>32</v>
      </c>
      <c r="G81" t="s">
        <v>18</v>
      </c>
      <c r="H81">
        <v>10</v>
      </c>
      <c r="I81">
        <v>1909</v>
      </c>
      <c r="J81" t="s">
        <v>14</v>
      </c>
      <c r="K81">
        <v>8</v>
      </c>
    </row>
    <row r="82" spans="1:11" x14ac:dyDescent="0.25">
      <c r="A82">
        <v>1193</v>
      </c>
      <c r="B82" t="s">
        <v>40</v>
      </c>
      <c r="C82">
        <v>26</v>
      </c>
      <c r="D82" t="str">
        <f t="shared" si="1"/>
        <v>21-30</v>
      </c>
      <c r="E82" t="s">
        <v>11</v>
      </c>
      <c r="F82" t="s">
        <v>12</v>
      </c>
      <c r="G82" t="s">
        <v>41</v>
      </c>
      <c r="H82">
        <v>23</v>
      </c>
      <c r="I82">
        <v>1709</v>
      </c>
      <c r="J82" t="s">
        <v>36</v>
      </c>
      <c r="K82">
        <v>10</v>
      </c>
    </row>
    <row r="83" spans="1:11" x14ac:dyDescent="0.25">
      <c r="A83">
        <v>1195</v>
      </c>
      <c r="B83" t="s">
        <v>31</v>
      </c>
      <c r="C83">
        <v>23</v>
      </c>
      <c r="D83" t="str">
        <f t="shared" si="1"/>
        <v>21-30</v>
      </c>
      <c r="E83" t="s">
        <v>16</v>
      </c>
      <c r="F83" t="s">
        <v>25</v>
      </c>
      <c r="G83" t="s">
        <v>18</v>
      </c>
      <c r="H83">
        <v>5</v>
      </c>
      <c r="I83">
        <v>1865</v>
      </c>
      <c r="J83" t="s">
        <v>30</v>
      </c>
      <c r="K83">
        <v>4</v>
      </c>
    </row>
    <row r="84" spans="1:11" x14ac:dyDescent="0.25">
      <c r="A84">
        <v>1199</v>
      </c>
      <c r="B84" t="s">
        <v>20</v>
      </c>
      <c r="C84">
        <v>29</v>
      </c>
      <c r="D84" t="str">
        <f t="shared" si="1"/>
        <v>21-30</v>
      </c>
      <c r="E84" t="s">
        <v>11</v>
      </c>
      <c r="F84" t="s">
        <v>49</v>
      </c>
      <c r="G84" t="s">
        <v>13</v>
      </c>
      <c r="H84">
        <v>29</v>
      </c>
      <c r="I84">
        <v>1330</v>
      </c>
      <c r="J84" t="s">
        <v>43</v>
      </c>
      <c r="K84">
        <v>7</v>
      </c>
    </row>
    <row r="85" spans="1:11" x14ac:dyDescent="0.25">
      <c r="A85">
        <v>1200</v>
      </c>
      <c r="B85" t="s">
        <v>26</v>
      </c>
      <c r="C85">
        <v>24</v>
      </c>
      <c r="D85" t="str">
        <f t="shared" si="1"/>
        <v>21-30</v>
      </c>
      <c r="E85" t="s">
        <v>11</v>
      </c>
      <c r="F85" t="s">
        <v>49</v>
      </c>
      <c r="G85" t="s">
        <v>38</v>
      </c>
      <c r="H85">
        <v>25</v>
      </c>
      <c r="I85">
        <v>1440</v>
      </c>
      <c r="J85" t="s">
        <v>19</v>
      </c>
      <c r="K85">
        <v>9</v>
      </c>
    </row>
    <row r="86" spans="1:11" x14ac:dyDescent="0.25">
      <c r="A86">
        <v>1201</v>
      </c>
      <c r="B86" t="s">
        <v>39</v>
      </c>
      <c r="C86">
        <v>27</v>
      </c>
      <c r="D86" t="str">
        <f t="shared" si="1"/>
        <v>21-30</v>
      </c>
      <c r="E86" t="s">
        <v>11</v>
      </c>
      <c r="F86" t="s">
        <v>35</v>
      </c>
      <c r="G86" t="s">
        <v>33</v>
      </c>
      <c r="H86">
        <v>18</v>
      </c>
      <c r="I86">
        <v>923</v>
      </c>
      <c r="J86" t="s">
        <v>43</v>
      </c>
      <c r="K86">
        <v>2</v>
      </c>
    </row>
    <row r="87" spans="1:11" x14ac:dyDescent="0.25">
      <c r="A87">
        <v>1205</v>
      </c>
      <c r="B87" t="s">
        <v>15</v>
      </c>
      <c r="C87">
        <v>26</v>
      </c>
      <c r="D87" t="str">
        <f t="shared" si="1"/>
        <v>21-30</v>
      </c>
      <c r="E87" t="s">
        <v>11</v>
      </c>
      <c r="F87" t="s">
        <v>32</v>
      </c>
      <c r="G87" t="s">
        <v>22</v>
      </c>
      <c r="H87">
        <v>25</v>
      </c>
      <c r="I87">
        <v>2266</v>
      </c>
      <c r="J87" t="s">
        <v>36</v>
      </c>
      <c r="K87">
        <v>6</v>
      </c>
    </row>
    <row r="88" spans="1:11" x14ac:dyDescent="0.25">
      <c r="A88">
        <v>1206</v>
      </c>
      <c r="B88" t="s">
        <v>28</v>
      </c>
      <c r="C88">
        <v>29</v>
      </c>
      <c r="D88" t="str">
        <f t="shared" si="1"/>
        <v>21-30</v>
      </c>
      <c r="E88" t="s">
        <v>16</v>
      </c>
      <c r="F88" t="s">
        <v>25</v>
      </c>
      <c r="G88" t="s">
        <v>13</v>
      </c>
      <c r="H88">
        <v>24</v>
      </c>
      <c r="I88">
        <v>2306</v>
      </c>
      <c r="J88" t="s">
        <v>19</v>
      </c>
      <c r="K88">
        <v>0</v>
      </c>
    </row>
    <row r="89" spans="1:11" x14ac:dyDescent="0.25">
      <c r="A89">
        <v>1208</v>
      </c>
      <c r="B89" t="s">
        <v>45</v>
      </c>
      <c r="C89">
        <v>30</v>
      </c>
      <c r="D89" t="str">
        <f t="shared" si="1"/>
        <v>21-30</v>
      </c>
      <c r="E89" t="s">
        <v>16</v>
      </c>
      <c r="F89" t="s">
        <v>25</v>
      </c>
      <c r="G89" t="s">
        <v>33</v>
      </c>
      <c r="H89">
        <v>28</v>
      </c>
      <c r="I89">
        <v>1997</v>
      </c>
      <c r="J89" t="s">
        <v>43</v>
      </c>
      <c r="K89">
        <v>1</v>
      </c>
    </row>
    <row r="90" spans="1:11" x14ac:dyDescent="0.25">
      <c r="A90">
        <v>1210</v>
      </c>
      <c r="B90" t="s">
        <v>34</v>
      </c>
      <c r="C90">
        <v>28</v>
      </c>
      <c r="D90" t="str">
        <f t="shared" si="1"/>
        <v>21-30</v>
      </c>
      <c r="E90" t="s">
        <v>11</v>
      </c>
      <c r="F90" t="s">
        <v>32</v>
      </c>
      <c r="G90" t="s">
        <v>29</v>
      </c>
      <c r="H90">
        <v>15</v>
      </c>
      <c r="I90">
        <v>1842</v>
      </c>
      <c r="J90" t="s">
        <v>30</v>
      </c>
      <c r="K90">
        <v>7</v>
      </c>
    </row>
    <row r="91" spans="1:11" x14ac:dyDescent="0.25">
      <c r="A91">
        <v>1216</v>
      </c>
      <c r="B91" t="s">
        <v>39</v>
      </c>
      <c r="C91">
        <v>24</v>
      </c>
      <c r="D91" t="str">
        <f t="shared" si="1"/>
        <v>21-30</v>
      </c>
      <c r="E91" t="s">
        <v>11</v>
      </c>
      <c r="F91" t="s">
        <v>35</v>
      </c>
      <c r="G91" t="s">
        <v>13</v>
      </c>
      <c r="H91">
        <v>6</v>
      </c>
      <c r="I91">
        <v>998</v>
      </c>
      <c r="J91" t="s">
        <v>43</v>
      </c>
      <c r="K91">
        <v>2</v>
      </c>
    </row>
    <row r="92" spans="1:11" x14ac:dyDescent="0.25">
      <c r="A92">
        <v>1217</v>
      </c>
      <c r="B92" t="s">
        <v>26</v>
      </c>
      <c r="C92">
        <v>21</v>
      </c>
      <c r="D92" t="str">
        <f t="shared" si="1"/>
        <v>21-30</v>
      </c>
      <c r="E92" t="s">
        <v>11</v>
      </c>
      <c r="F92" t="s">
        <v>17</v>
      </c>
      <c r="G92" t="s">
        <v>22</v>
      </c>
      <c r="H92">
        <v>5</v>
      </c>
      <c r="I92">
        <v>875</v>
      </c>
      <c r="J92" t="s">
        <v>23</v>
      </c>
      <c r="K92">
        <v>4</v>
      </c>
    </row>
    <row r="93" spans="1:11" x14ac:dyDescent="0.25">
      <c r="A93">
        <v>1219</v>
      </c>
      <c r="B93" t="s">
        <v>34</v>
      </c>
      <c r="C93">
        <v>25</v>
      </c>
      <c r="D93" t="str">
        <f t="shared" si="1"/>
        <v>21-30</v>
      </c>
      <c r="E93" t="s">
        <v>16</v>
      </c>
      <c r="F93" t="s">
        <v>27</v>
      </c>
      <c r="G93" t="s">
        <v>18</v>
      </c>
      <c r="H93">
        <v>30</v>
      </c>
      <c r="I93">
        <v>1996</v>
      </c>
      <c r="J93" t="s">
        <v>14</v>
      </c>
      <c r="K93">
        <v>2</v>
      </c>
    </row>
    <row r="94" spans="1:11" x14ac:dyDescent="0.25">
      <c r="A94">
        <v>1221</v>
      </c>
      <c r="B94" t="s">
        <v>37</v>
      </c>
      <c r="C94">
        <v>24</v>
      </c>
      <c r="D94" t="str">
        <f t="shared" si="1"/>
        <v>21-30</v>
      </c>
      <c r="E94" t="s">
        <v>11</v>
      </c>
      <c r="F94" t="s">
        <v>21</v>
      </c>
      <c r="G94" t="s">
        <v>29</v>
      </c>
      <c r="H94">
        <v>29</v>
      </c>
      <c r="I94">
        <v>1503</v>
      </c>
      <c r="J94" t="s">
        <v>30</v>
      </c>
      <c r="K94">
        <v>2</v>
      </c>
    </row>
    <row r="95" spans="1:11" x14ac:dyDescent="0.25">
      <c r="A95">
        <v>1222</v>
      </c>
      <c r="B95" t="s">
        <v>34</v>
      </c>
      <c r="C95">
        <v>21</v>
      </c>
      <c r="D95" t="str">
        <f t="shared" si="1"/>
        <v>21-30</v>
      </c>
      <c r="E95" t="s">
        <v>11</v>
      </c>
      <c r="F95" t="s">
        <v>49</v>
      </c>
      <c r="G95" t="s">
        <v>13</v>
      </c>
      <c r="H95">
        <v>26</v>
      </c>
      <c r="I95">
        <v>2261</v>
      </c>
      <c r="J95" t="s">
        <v>43</v>
      </c>
      <c r="K95">
        <v>3</v>
      </c>
    </row>
    <row r="96" spans="1:11" x14ac:dyDescent="0.25">
      <c r="A96">
        <v>1231</v>
      </c>
      <c r="B96" t="s">
        <v>46</v>
      </c>
      <c r="C96">
        <v>22</v>
      </c>
      <c r="D96" t="str">
        <f t="shared" si="1"/>
        <v>21-30</v>
      </c>
      <c r="E96" t="s">
        <v>16</v>
      </c>
      <c r="F96" t="s">
        <v>32</v>
      </c>
      <c r="G96" t="s">
        <v>33</v>
      </c>
      <c r="H96">
        <v>12</v>
      </c>
      <c r="I96">
        <v>1732</v>
      </c>
      <c r="J96" t="s">
        <v>19</v>
      </c>
      <c r="K96">
        <v>0</v>
      </c>
    </row>
    <row r="97" spans="1:11" x14ac:dyDescent="0.25">
      <c r="A97">
        <v>1236</v>
      </c>
      <c r="B97" t="s">
        <v>34</v>
      </c>
      <c r="C97">
        <v>23</v>
      </c>
      <c r="D97" t="str">
        <f t="shared" si="1"/>
        <v>21-30</v>
      </c>
      <c r="E97" t="s">
        <v>11</v>
      </c>
      <c r="F97" t="s">
        <v>32</v>
      </c>
      <c r="G97" t="s">
        <v>22</v>
      </c>
      <c r="H97">
        <v>25</v>
      </c>
      <c r="I97">
        <v>976</v>
      </c>
      <c r="J97" t="s">
        <v>36</v>
      </c>
      <c r="K97">
        <v>3</v>
      </c>
    </row>
    <row r="98" spans="1:11" x14ac:dyDescent="0.25">
      <c r="A98">
        <v>1237</v>
      </c>
      <c r="B98" t="s">
        <v>51</v>
      </c>
      <c r="C98">
        <v>30</v>
      </c>
      <c r="D98" t="str">
        <f t="shared" si="1"/>
        <v>21-30</v>
      </c>
      <c r="E98" t="s">
        <v>16</v>
      </c>
      <c r="F98" t="s">
        <v>21</v>
      </c>
      <c r="G98" t="s">
        <v>18</v>
      </c>
      <c r="H98">
        <v>17</v>
      </c>
      <c r="I98">
        <v>2378</v>
      </c>
      <c r="J98" t="s">
        <v>14</v>
      </c>
      <c r="K98">
        <v>3</v>
      </c>
    </row>
    <row r="99" spans="1:11" x14ac:dyDescent="0.25">
      <c r="A99">
        <v>1240</v>
      </c>
      <c r="B99" t="s">
        <v>42</v>
      </c>
      <c r="C99">
        <v>24</v>
      </c>
      <c r="D99" t="str">
        <f t="shared" si="1"/>
        <v>21-30</v>
      </c>
      <c r="E99" t="s">
        <v>16</v>
      </c>
      <c r="F99" t="s">
        <v>17</v>
      </c>
      <c r="G99" t="s">
        <v>22</v>
      </c>
      <c r="H99">
        <v>6</v>
      </c>
      <c r="I99">
        <v>1853</v>
      </c>
      <c r="J99" t="s">
        <v>23</v>
      </c>
      <c r="K99">
        <v>8</v>
      </c>
    </row>
    <row r="100" spans="1:11" x14ac:dyDescent="0.25">
      <c r="A100">
        <v>1244</v>
      </c>
      <c r="B100" t="s">
        <v>40</v>
      </c>
      <c r="C100">
        <v>25</v>
      </c>
      <c r="D100" t="str">
        <f t="shared" si="1"/>
        <v>21-30</v>
      </c>
      <c r="E100" t="s">
        <v>16</v>
      </c>
      <c r="F100" t="s">
        <v>27</v>
      </c>
      <c r="G100" t="s">
        <v>13</v>
      </c>
      <c r="H100">
        <v>23</v>
      </c>
      <c r="I100">
        <v>865</v>
      </c>
      <c r="J100" t="s">
        <v>14</v>
      </c>
      <c r="K100">
        <v>5</v>
      </c>
    </row>
    <row r="101" spans="1:11" x14ac:dyDescent="0.25">
      <c r="A101">
        <v>1246</v>
      </c>
      <c r="B101" t="s">
        <v>42</v>
      </c>
      <c r="C101">
        <v>21</v>
      </c>
      <c r="D101" t="str">
        <f t="shared" si="1"/>
        <v>21-30</v>
      </c>
      <c r="E101" t="s">
        <v>16</v>
      </c>
      <c r="F101" t="s">
        <v>25</v>
      </c>
      <c r="G101" t="s">
        <v>18</v>
      </c>
      <c r="H101">
        <v>8</v>
      </c>
      <c r="I101">
        <v>1826</v>
      </c>
      <c r="J101" t="s">
        <v>43</v>
      </c>
      <c r="K101">
        <v>2</v>
      </c>
    </row>
    <row r="102" spans="1:11" x14ac:dyDescent="0.25">
      <c r="A102">
        <v>1001</v>
      </c>
      <c r="B102" t="s">
        <v>10</v>
      </c>
      <c r="C102">
        <v>37</v>
      </c>
      <c r="D102" t="str">
        <f t="shared" si="1"/>
        <v>31-40</v>
      </c>
      <c r="E102" t="s">
        <v>11</v>
      </c>
      <c r="F102" t="s">
        <v>12</v>
      </c>
      <c r="G102" t="s">
        <v>13</v>
      </c>
      <c r="H102">
        <v>13</v>
      </c>
      <c r="I102">
        <v>856</v>
      </c>
      <c r="J102" t="s">
        <v>14</v>
      </c>
      <c r="K102">
        <v>8</v>
      </c>
    </row>
    <row r="103" spans="1:11" x14ac:dyDescent="0.25">
      <c r="A103">
        <v>1009</v>
      </c>
      <c r="B103" t="s">
        <v>37</v>
      </c>
      <c r="C103">
        <v>39</v>
      </c>
      <c r="D103" t="str">
        <f t="shared" si="1"/>
        <v>31-40</v>
      </c>
      <c r="E103" t="s">
        <v>11</v>
      </c>
      <c r="F103" t="s">
        <v>35</v>
      </c>
      <c r="G103" t="s">
        <v>38</v>
      </c>
      <c r="H103">
        <v>18</v>
      </c>
      <c r="I103">
        <v>2124</v>
      </c>
      <c r="J103" t="s">
        <v>30</v>
      </c>
      <c r="K103">
        <v>9</v>
      </c>
    </row>
    <row r="104" spans="1:11" x14ac:dyDescent="0.25">
      <c r="A104">
        <v>1010</v>
      </c>
      <c r="B104" t="s">
        <v>39</v>
      </c>
      <c r="C104">
        <v>34</v>
      </c>
      <c r="D104" t="str">
        <f t="shared" si="1"/>
        <v>31-40</v>
      </c>
      <c r="E104" t="s">
        <v>16</v>
      </c>
      <c r="F104" t="s">
        <v>35</v>
      </c>
      <c r="G104" t="s">
        <v>38</v>
      </c>
      <c r="H104">
        <v>30</v>
      </c>
      <c r="I104">
        <v>1684</v>
      </c>
      <c r="J104" t="s">
        <v>14</v>
      </c>
      <c r="K104">
        <v>4</v>
      </c>
    </row>
    <row r="105" spans="1:11" x14ac:dyDescent="0.25">
      <c r="A105">
        <v>1011</v>
      </c>
      <c r="B105" t="s">
        <v>40</v>
      </c>
      <c r="C105">
        <v>35</v>
      </c>
      <c r="D105" t="str">
        <f t="shared" si="1"/>
        <v>31-40</v>
      </c>
      <c r="E105" t="s">
        <v>16</v>
      </c>
      <c r="F105" t="s">
        <v>17</v>
      </c>
      <c r="G105" t="s">
        <v>41</v>
      </c>
      <c r="H105">
        <v>26</v>
      </c>
      <c r="I105">
        <v>507</v>
      </c>
      <c r="J105" t="s">
        <v>23</v>
      </c>
      <c r="K105">
        <v>10</v>
      </c>
    </row>
    <row r="106" spans="1:11" x14ac:dyDescent="0.25">
      <c r="A106">
        <v>1014</v>
      </c>
      <c r="B106" t="s">
        <v>44</v>
      </c>
      <c r="C106">
        <v>36</v>
      </c>
      <c r="D106" t="str">
        <f t="shared" si="1"/>
        <v>31-40</v>
      </c>
      <c r="E106" t="s">
        <v>16</v>
      </c>
      <c r="F106" t="s">
        <v>17</v>
      </c>
      <c r="G106" t="s">
        <v>22</v>
      </c>
      <c r="H106">
        <v>16</v>
      </c>
      <c r="I106">
        <v>1439</v>
      </c>
      <c r="J106" t="s">
        <v>36</v>
      </c>
      <c r="K106">
        <v>8</v>
      </c>
    </row>
    <row r="107" spans="1:11" x14ac:dyDescent="0.25">
      <c r="A107">
        <v>1016</v>
      </c>
      <c r="B107" t="s">
        <v>31</v>
      </c>
      <c r="C107">
        <v>36</v>
      </c>
      <c r="D107" t="str">
        <f t="shared" si="1"/>
        <v>31-40</v>
      </c>
      <c r="E107" t="s">
        <v>16</v>
      </c>
      <c r="F107" t="s">
        <v>35</v>
      </c>
      <c r="G107" t="s">
        <v>18</v>
      </c>
      <c r="H107">
        <v>14</v>
      </c>
      <c r="I107">
        <v>1512</v>
      </c>
      <c r="J107" t="s">
        <v>14</v>
      </c>
      <c r="K107">
        <v>9</v>
      </c>
    </row>
    <row r="108" spans="1:11" x14ac:dyDescent="0.25">
      <c r="A108">
        <v>1018</v>
      </c>
      <c r="B108" t="s">
        <v>45</v>
      </c>
      <c r="C108">
        <v>31</v>
      </c>
      <c r="D108" t="str">
        <f t="shared" si="1"/>
        <v>31-40</v>
      </c>
      <c r="E108" t="s">
        <v>16</v>
      </c>
      <c r="F108" t="s">
        <v>27</v>
      </c>
      <c r="G108" t="s">
        <v>41</v>
      </c>
      <c r="H108">
        <v>23</v>
      </c>
      <c r="I108">
        <v>568</v>
      </c>
      <c r="J108" t="s">
        <v>19</v>
      </c>
      <c r="K108">
        <v>8</v>
      </c>
    </row>
    <row r="109" spans="1:11" x14ac:dyDescent="0.25">
      <c r="A109">
        <v>1021</v>
      </c>
      <c r="B109" t="s">
        <v>46</v>
      </c>
      <c r="C109">
        <v>36</v>
      </c>
      <c r="D109" t="str">
        <f t="shared" si="1"/>
        <v>31-40</v>
      </c>
      <c r="E109" t="s">
        <v>11</v>
      </c>
      <c r="F109" t="s">
        <v>32</v>
      </c>
      <c r="G109" t="s">
        <v>33</v>
      </c>
      <c r="H109">
        <v>11</v>
      </c>
      <c r="I109">
        <v>2607</v>
      </c>
      <c r="J109" t="s">
        <v>23</v>
      </c>
      <c r="K109">
        <v>7</v>
      </c>
    </row>
    <row r="110" spans="1:11" x14ac:dyDescent="0.25">
      <c r="A110">
        <v>1024</v>
      </c>
      <c r="B110" t="s">
        <v>48</v>
      </c>
      <c r="C110">
        <v>34</v>
      </c>
      <c r="D110" t="str">
        <f t="shared" si="1"/>
        <v>31-40</v>
      </c>
      <c r="E110" t="s">
        <v>16</v>
      </c>
      <c r="F110" t="s">
        <v>49</v>
      </c>
      <c r="G110" t="s">
        <v>41</v>
      </c>
      <c r="H110">
        <v>19</v>
      </c>
      <c r="I110">
        <v>757</v>
      </c>
      <c r="J110" t="s">
        <v>19</v>
      </c>
      <c r="K110">
        <v>3</v>
      </c>
    </row>
    <row r="111" spans="1:11" x14ac:dyDescent="0.25">
      <c r="A111">
        <v>1029</v>
      </c>
      <c r="B111" t="s">
        <v>45</v>
      </c>
      <c r="C111">
        <v>36</v>
      </c>
      <c r="D111" t="str">
        <f t="shared" si="1"/>
        <v>31-40</v>
      </c>
      <c r="E111" t="s">
        <v>11</v>
      </c>
      <c r="F111" t="s">
        <v>27</v>
      </c>
      <c r="G111" t="s">
        <v>18</v>
      </c>
      <c r="H111">
        <v>7</v>
      </c>
      <c r="I111">
        <v>2263</v>
      </c>
      <c r="J111" t="s">
        <v>14</v>
      </c>
      <c r="K111">
        <v>3</v>
      </c>
    </row>
    <row r="112" spans="1:11" x14ac:dyDescent="0.25">
      <c r="A112">
        <v>1030</v>
      </c>
      <c r="B112" t="s">
        <v>34</v>
      </c>
      <c r="C112">
        <v>36</v>
      </c>
      <c r="D112" t="str">
        <f t="shared" si="1"/>
        <v>31-40</v>
      </c>
      <c r="E112" t="s">
        <v>11</v>
      </c>
      <c r="F112" t="s">
        <v>35</v>
      </c>
      <c r="G112" t="s">
        <v>18</v>
      </c>
      <c r="H112">
        <v>29</v>
      </c>
      <c r="I112">
        <v>733</v>
      </c>
      <c r="J112" t="s">
        <v>14</v>
      </c>
      <c r="K112">
        <v>5</v>
      </c>
    </row>
    <row r="113" spans="1:11" x14ac:dyDescent="0.25">
      <c r="A113">
        <v>1034</v>
      </c>
      <c r="B113" t="s">
        <v>48</v>
      </c>
      <c r="C113">
        <v>37</v>
      </c>
      <c r="D113" t="str">
        <f t="shared" si="1"/>
        <v>31-40</v>
      </c>
      <c r="E113" t="s">
        <v>16</v>
      </c>
      <c r="F113" t="s">
        <v>21</v>
      </c>
      <c r="G113" t="s">
        <v>18</v>
      </c>
      <c r="H113">
        <v>29</v>
      </c>
      <c r="I113">
        <v>1106</v>
      </c>
      <c r="J113" t="s">
        <v>14</v>
      </c>
      <c r="K113">
        <v>9</v>
      </c>
    </row>
    <row r="114" spans="1:11" x14ac:dyDescent="0.25">
      <c r="A114">
        <v>1035</v>
      </c>
      <c r="B114" t="s">
        <v>10</v>
      </c>
      <c r="C114">
        <v>40</v>
      </c>
      <c r="D114" t="str">
        <f t="shared" si="1"/>
        <v>31-40</v>
      </c>
      <c r="E114" t="s">
        <v>11</v>
      </c>
      <c r="F114" t="s">
        <v>12</v>
      </c>
      <c r="G114" t="s">
        <v>29</v>
      </c>
      <c r="H114">
        <v>22</v>
      </c>
      <c r="I114">
        <v>1488</v>
      </c>
      <c r="J114" t="s">
        <v>23</v>
      </c>
      <c r="K114">
        <v>9</v>
      </c>
    </row>
    <row r="115" spans="1:11" x14ac:dyDescent="0.25">
      <c r="A115">
        <v>1039</v>
      </c>
      <c r="B115" t="s">
        <v>26</v>
      </c>
      <c r="C115">
        <v>32</v>
      </c>
      <c r="D115" t="str">
        <f t="shared" si="1"/>
        <v>31-40</v>
      </c>
      <c r="E115" t="s">
        <v>16</v>
      </c>
      <c r="F115" t="s">
        <v>21</v>
      </c>
      <c r="G115" t="s">
        <v>41</v>
      </c>
      <c r="H115">
        <v>15</v>
      </c>
      <c r="I115">
        <v>2569</v>
      </c>
      <c r="J115" t="s">
        <v>43</v>
      </c>
      <c r="K115">
        <v>6</v>
      </c>
    </row>
    <row r="116" spans="1:11" x14ac:dyDescent="0.25">
      <c r="A116">
        <v>1040</v>
      </c>
      <c r="B116" t="s">
        <v>42</v>
      </c>
      <c r="C116">
        <v>35</v>
      </c>
      <c r="D116" t="str">
        <f t="shared" si="1"/>
        <v>31-40</v>
      </c>
      <c r="E116" t="s">
        <v>16</v>
      </c>
      <c r="F116" t="s">
        <v>49</v>
      </c>
      <c r="G116" t="s">
        <v>29</v>
      </c>
      <c r="H116">
        <v>19</v>
      </c>
      <c r="I116">
        <v>2995</v>
      </c>
      <c r="J116" t="s">
        <v>30</v>
      </c>
      <c r="K116">
        <v>0</v>
      </c>
    </row>
    <row r="117" spans="1:11" x14ac:dyDescent="0.25">
      <c r="A117">
        <v>1044</v>
      </c>
      <c r="B117" t="s">
        <v>37</v>
      </c>
      <c r="C117">
        <v>40</v>
      </c>
      <c r="D117" t="str">
        <f t="shared" si="1"/>
        <v>31-40</v>
      </c>
      <c r="E117" t="s">
        <v>16</v>
      </c>
      <c r="F117" t="s">
        <v>49</v>
      </c>
      <c r="G117" t="s">
        <v>41</v>
      </c>
      <c r="H117">
        <v>8</v>
      </c>
      <c r="I117">
        <v>2463</v>
      </c>
      <c r="J117" t="s">
        <v>19</v>
      </c>
      <c r="K117">
        <v>0</v>
      </c>
    </row>
    <row r="118" spans="1:11" x14ac:dyDescent="0.25">
      <c r="A118">
        <v>1046</v>
      </c>
      <c r="B118" t="s">
        <v>50</v>
      </c>
      <c r="C118">
        <v>34</v>
      </c>
      <c r="D118" t="str">
        <f t="shared" si="1"/>
        <v>31-40</v>
      </c>
      <c r="E118" t="s">
        <v>16</v>
      </c>
      <c r="F118" t="s">
        <v>32</v>
      </c>
      <c r="G118" t="s">
        <v>22</v>
      </c>
      <c r="H118">
        <v>6</v>
      </c>
      <c r="I118">
        <v>2910</v>
      </c>
      <c r="J118" t="s">
        <v>23</v>
      </c>
      <c r="K118">
        <v>9</v>
      </c>
    </row>
    <row r="119" spans="1:11" x14ac:dyDescent="0.25">
      <c r="A119">
        <v>1049</v>
      </c>
      <c r="B119" t="s">
        <v>51</v>
      </c>
      <c r="C119">
        <v>32</v>
      </c>
      <c r="D119" t="str">
        <f t="shared" si="1"/>
        <v>31-40</v>
      </c>
      <c r="E119" t="s">
        <v>16</v>
      </c>
      <c r="F119" t="s">
        <v>32</v>
      </c>
      <c r="G119" t="s">
        <v>38</v>
      </c>
      <c r="H119">
        <v>21</v>
      </c>
      <c r="I119">
        <v>1320</v>
      </c>
      <c r="J119" t="s">
        <v>14</v>
      </c>
      <c r="K119">
        <v>2</v>
      </c>
    </row>
    <row r="120" spans="1:11" x14ac:dyDescent="0.25">
      <c r="A120">
        <v>1051</v>
      </c>
      <c r="B120" t="s">
        <v>47</v>
      </c>
      <c r="C120">
        <v>32</v>
      </c>
      <c r="D120" t="str">
        <f t="shared" si="1"/>
        <v>31-40</v>
      </c>
      <c r="E120" t="s">
        <v>11</v>
      </c>
      <c r="F120" t="s">
        <v>12</v>
      </c>
      <c r="G120" t="s">
        <v>41</v>
      </c>
      <c r="H120">
        <v>15</v>
      </c>
      <c r="I120">
        <v>1252</v>
      </c>
      <c r="J120" t="s">
        <v>14</v>
      </c>
      <c r="K120">
        <v>2</v>
      </c>
    </row>
    <row r="121" spans="1:11" x14ac:dyDescent="0.25">
      <c r="A121">
        <v>1054</v>
      </c>
      <c r="B121" t="s">
        <v>26</v>
      </c>
      <c r="C121">
        <v>33</v>
      </c>
      <c r="D121" t="str">
        <f t="shared" si="1"/>
        <v>31-40</v>
      </c>
      <c r="E121" t="s">
        <v>11</v>
      </c>
      <c r="F121" t="s">
        <v>35</v>
      </c>
      <c r="G121" t="s">
        <v>41</v>
      </c>
      <c r="H121">
        <v>8</v>
      </c>
      <c r="I121">
        <v>1288</v>
      </c>
      <c r="J121" t="s">
        <v>19</v>
      </c>
      <c r="K121">
        <v>5</v>
      </c>
    </row>
    <row r="122" spans="1:11" x14ac:dyDescent="0.25">
      <c r="A122">
        <v>1055</v>
      </c>
      <c r="B122" t="s">
        <v>48</v>
      </c>
      <c r="C122">
        <v>40</v>
      </c>
      <c r="D122" t="str">
        <f t="shared" si="1"/>
        <v>31-40</v>
      </c>
      <c r="E122" t="s">
        <v>11</v>
      </c>
      <c r="F122" t="s">
        <v>49</v>
      </c>
      <c r="G122" t="s">
        <v>22</v>
      </c>
      <c r="H122">
        <v>24</v>
      </c>
      <c r="I122">
        <v>2842</v>
      </c>
      <c r="J122" t="s">
        <v>23</v>
      </c>
      <c r="K122">
        <v>5</v>
      </c>
    </row>
    <row r="123" spans="1:11" x14ac:dyDescent="0.25">
      <c r="A123">
        <v>1057</v>
      </c>
      <c r="B123" t="s">
        <v>15</v>
      </c>
      <c r="C123">
        <v>40</v>
      </c>
      <c r="D123" t="str">
        <f t="shared" si="1"/>
        <v>31-40</v>
      </c>
      <c r="E123" t="s">
        <v>16</v>
      </c>
      <c r="F123" t="s">
        <v>12</v>
      </c>
      <c r="G123" t="s">
        <v>22</v>
      </c>
      <c r="H123">
        <v>13</v>
      </c>
      <c r="I123">
        <v>994</v>
      </c>
      <c r="J123" t="s">
        <v>19</v>
      </c>
      <c r="K123">
        <v>8</v>
      </c>
    </row>
    <row r="124" spans="1:11" x14ac:dyDescent="0.25">
      <c r="A124">
        <v>1058</v>
      </c>
      <c r="B124" t="s">
        <v>44</v>
      </c>
      <c r="C124">
        <v>31</v>
      </c>
      <c r="D124" t="str">
        <f t="shared" si="1"/>
        <v>31-40</v>
      </c>
      <c r="E124" t="s">
        <v>16</v>
      </c>
      <c r="F124" t="s">
        <v>21</v>
      </c>
      <c r="G124" t="s">
        <v>33</v>
      </c>
      <c r="H124">
        <v>22</v>
      </c>
      <c r="I124">
        <v>2067</v>
      </c>
      <c r="J124" t="s">
        <v>14</v>
      </c>
      <c r="K124">
        <v>2</v>
      </c>
    </row>
    <row r="125" spans="1:11" x14ac:dyDescent="0.25">
      <c r="A125">
        <v>1063</v>
      </c>
      <c r="B125" t="s">
        <v>20</v>
      </c>
      <c r="C125">
        <v>40</v>
      </c>
      <c r="D125" t="str">
        <f t="shared" si="1"/>
        <v>31-40</v>
      </c>
      <c r="E125" t="s">
        <v>11</v>
      </c>
      <c r="F125" t="s">
        <v>27</v>
      </c>
      <c r="G125" t="s">
        <v>38</v>
      </c>
      <c r="H125">
        <v>22</v>
      </c>
      <c r="I125">
        <v>2472</v>
      </c>
      <c r="J125" t="s">
        <v>30</v>
      </c>
      <c r="K125">
        <v>9</v>
      </c>
    </row>
    <row r="126" spans="1:11" x14ac:dyDescent="0.25">
      <c r="A126">
        <v>1065</v>
      </c>
      <c r="B126" t="s">
        <v>28</v>
      </c>
      <c r="C126">
        <v>33</v>
      </c>
      <c r="D126" t="str">
        <f t="shared" si="1"/>
        <v>31-40</v>
      </c>
      <c r="E126" t="s">
        <v>11</v>
      </c>
      <c r="F126" t="s">
        <v>49</v>
      </c>
      <c r="G126" t="s">
        <v>13</v>
      </c>
      <c r="H126">
        <v>27</v>
      </c>
      <c r="I126">
        <v>1764</v>
      </c>
      <c r="J126" t="s">
        <v>19</v>
      </c>
      <c r="K126">
        <v>0</v>
      </c>
    </row>
    <row r="127" spans="1:11" x14ac:dyDescent="0.25">
      <c r="A127">
        <v>1066</v>
      </c>
      <c r="B127" t="s">
        <v>34</v>
      </c>
      <c r="C127">
        <v>32</v>
      </c>
      <c r="D127" t="str">
        <f t="shared" si="1"/>
        <v>31-40</v>
      </c>
      <c r="E127" t="s">
        <v>16</v>
      </c>
      <c r="F127" t="s">
        <v>49</v>
      </c>
      <c r="G127" t="s">
        <v>33</v>
      </c>
      <c r="H127">
        <v>12</v>
      </c>
      <c r="I127">
        <v>1827</v>
      </c>
      <c r="J127" t="s">
        <v>36</v>
      </c>
      <c r="K127">
        <v>5</v>
      </c>
    </row>
    <row r="128" spans="1:11" x14ac:dyDescent="0.25">
      <c r="A128">
        <v>1068</v>
      </c>
      <c r="B128" t="s">
        <v>31</v>
      </c>
      <c r="C128">
        <v>36</v>
      </c>
      <c r="D128" t="str">
        <f t="shared" si="1"/>
        <v>31-40</v>
      </c>
      <c r="E128" t="s">
        <v>11</v>
      </c>
      <c r="F128" t="s">
        <v>49</v>
      </c>
      <c r="G128" t="s">
        <v>18</v>
      </c>
      <c r="H128">
        <v>21</v>
      </c>
      <c r="I128">
        <v>692</v>
      </c>
      <c r="J128" t="s">
        <v>30</v>
      </c>
      <c r="K128">
        <v>9</v>
      </c>
    </row>
    <row r="129" spans="1:11" x14ac:dyDescent="0.25">
      <c r="A129">
        <v>1070</v>
      </c>
      <c r="B129" t="s">
        <v>26</v>
      </c>
      <c r="C129">
        <v>38</v>
      </c>
      <c r="D129" t="str">
        <f t="shared" si="1"/>
        <v>31-40</v>
      </c>
      <c r="E129" t="s">
        <v>16</v>
      </c>
      <c r="F129" t="s">
        <v>32</v>
      </c>
      <c r="G129" t="s">
        <v>22</v>
      </c>
      <c r="H129">
        <v>8</v>
      </c>
      <c r="I129">
        <v>651</v>
      </c>
      <c r="J129" t="s">
        <v>30</v>
      </c>
      <c r="K129">
        <v>3</v>
      </c>
    </row>
    <row r="130" spans="1:11" x14ac:dyDescent="0.25">
      <c r="A130">
        <v>1073</v>
      </c>
      <c r="B130" t="s">
        <v>26</v>
      </c>
      <c r="C130">
        <v>38</v>
      </c>
      <c r="D130" t="str">
        <f t="shared" ref="D130:D193" si="2">IF(C130&lt;=20,"10-20",IF(C130&lt;=30,"21-30",IF(C130&lt;=40,"31-40",IF(C130&lt;=50,"41-50","51-60"))))</f>
        <v>31-40</v>
      </c>
      <c r="E130" t="s">
        <v>11</v>
      </c>
      <c r="F130" t="s">
        <v>35</v>
      </c>
      <c r="G130" t="s">
        <v>22</v>
      </c>
      <c r="H130">
        <v>8</v>
      </c>
      <c r="I130">
        <v>1105</v>
      </c>
      <c r="J130" t="s">
        <v>43</v>
      </c>
      <c r="K130">
        <v>1</v>
      </c>
    </row>
    <row r="131" spans="1:11" x14ac:dyDescent="0.25">
      <c r="A131">
        <v>1080</v>
      </c>
      <c r="B131" t="s">
        <v>10</v>
      </c>
      <c r="C131">
        <v>31</v>
      </c>
      <c r="D131" t="str">
        <f t="shared" si="2"/>
        <v>31-40</v>
      </c>
      <c r="E131" t="s">
        <v>16</v>
      </c>
      <c r="F131" t="s">
        <v>32</v>
      </c>
      <c r="G131" t="s">
        <v>18</v>
      </c>
      <c r="H131">
        <v>15</v>
      </c>
      <c r="I131">
        <v>1501</v>
      </c>
      <c r="J131" t="s">
        <v>14</v>
      </c>
      <c r="K131">
        <v>6</v>
      </c>
    </row>
    <row r="132" spans="1:11" x14ac:dyDescent="0.25">
      <c r="A132">
        <v>1083</v>
      </c>
      <c r="B132" t="s">
        <v>15</v>
      </c>
      <c r="C132">
        <v>39</v>
      </c>
      <c r="D132" t="str">
        <f t="shared" si="2"/>
        <v>31-40</v>
      </c>
      <c r="E132" t="s">
        <v>16</v>
      </c>
      <c r="F132" t="s">
        <v>12</v>
      </c>
      <c r="G132" t="s">
        <v>13</v>
      </c>
      <c r="H132">
        <v>29</v>
      </c>
      <c r="I132">
        <v>1230</v>
      </c>
      <c r="J132" t="s">
        <v>23</v>
      </c>
      <c r="K132">
        <v>5</v>
      </c>
    </row>
    <row r="133" spans="1:11" x14ac:dyDescent="0.25">
      <c r="A133">
        <v>1085</v>
      </c>
      <c r="B133" t="s">
        <v>26</v>
      </c>
      <c r="C133">
        <v>37</v>
      </c>
      <c r="D133" t="str">
        <f t="shared" si="2"/>
        <v>31-40</v>
      </c>
      <c r="E133" t="s">
        <v>16</v>
      </c>
      <c r="F133" t="s">
        <v>17</v>
      </c>
      <c r="G133" t="s">
        <v>38</v>
      </c>
      <c r="H133">
        <v>6</v>
      </c>
      <c r="I133">
        <v>1725</v>
      </c>
      <c r="J133" t="s">
        <v>19</v>
      </c>
      <c r="K133">
        <v>5</v>
      </c>
    </row>
    <row r="134" spans="1:11" x14ac:dyDescent="0.25">
      <c r="A134">
        <v>1086</v>
      </c>
      <c r="B134" t="s">
        <v>37</v>
      </c>
      <c r="C134">
        <v>37</v>
      </c>
      <c r="D134" t="str">
        <f t="shared" si="2"/>
        <v>31-40</v>
      </c>
      <c r="E134" t="s">
        <v>11</v>
      </c>
      <c r="F134" t="s">
        <v>21</v>
      </c>
      <c r="G134" t="s">
        <v>38</v>
      </c>
      <c r="H134">
        <v>7</v>
      </c>
      <c r="I134">
        <v>860</v>
      </c>
      <c r="J134" t="s">
        <v>43</v>
      </c>
      <c r="K134">
        <v>8</v>
      </c>
    </row>
    <row r="135" spans="1:11" x14ac:dyDescent="0.25">
      <c r="A135">
        <v>1090</v>
      </c>
      <c r="B135" t="s">
        <v>52</v>
      </c>
      <c r="C135">
        <v>39</v>
      </c>
      <c r="D135" t="str">
        <f t="shared" si="2"/>
        <v>31-40</v>
      </c>
      <c r="E135" t="s">
        <v>11</v>
      </c>
      <c r="F135" t="s">
        <v>21</v>
      </c>
      <c r="G135" t="s">
        <v>33</v>
      </c>
      <c r="H135">
        <v>23</v>
      </c>
      <c r="I135">
        <v>1495</v>
      </c>
      <c r="J135" t="s">
        <v>36</v>
      </c>
      <c r="K135">
        <v>0</v>
      </c>
    </row>
    <row r="136" spans="1:11" x14ac:dyDescent="0.25">
      <c r="A136">
        <v>1093</v>
      </c>
      <c r="B136" t="s">
        <v>46</v>
      </c>
      <c r="C136">
        <v>39</v>
      </c>
      <c r="D136" t="str">
        <f t="shared" si="2"/>
        <v>31-40</v>
      </c>
      <c r="E136" t="s">
        <v>16</v>
      </c>
      <c r="F136" t="s">
        <v>27</v>
      </c>
      <c r="G136" t="s">
        <v>29</v>
      </c>
      <c r="H136">
        <v>19</v>
      </c>
      <c r="I136">
        <v>2942</v>
      </c>
      <c r="J136" t="s">
        <v>19</v>
      </c>
      <c r="K136">
        <v>1</v>
      </c>
    </row>
    <row r="137" spans="1:11" x14ac:dyDescent="0.25">
      <c r="A137">
        <v>1094</v>
      </c>
      <c r="B137" t="s">
        <v>24</v>
      </c>
      <c r="C137">
        <v>32</v>
      </c>
      <c r="D137" t="str">
        <f t="shared" si="2"/>
        <v>31-40</v>
      </c>
      <c r="E137" t="s">
        <v>11</v>
      </c>
      <c r="F137" t="s">
        <v>21</v>
      </c>
      <c r="G137" t="s">
        <v>13</v>
      </c>
      <c r="H137">
        <v>11</v>
      </c>
      <c r="I137">
        <v>1513</v>
      </c>
      <c r="J137" t="s">
        <v>43</v>
      </c>
      <c r="K137">
        <v>2</v>
      </c>
    </row>
    <row r="138" spans="1:11" x14ac:dyDescent="0.25">
      <c r="A138">
        <v>1095</v>
      </c>
      <c r="B138" t="s">
        <v>44</v>
      </c>
      <c r="C138">
        <v>39</v>
      </c>
      <c r="D138" t="str">
        <f t="shared" si="2"/>
        <v>31-40</v>
      </c>
      <c r="E138" t="s">
        <v>11</v>
      </c>
      <c r="F138" t="s">
        <v>32</v>
      </c>
      <c r="G138" t="s">
        <v>29</v>
      </c>
      <c r="H138">
        <v>17</v>
      </c>
      <c r="I138">
        <v>2902</v>
      </c>
      <c r="J138" t="s">
        <v>23</v>
      </c>
      <c r="K138">
        <v>10</v>
      </c>
    </row>
    <row r="139" spans="1:11" x14ac:dyDescent="0.25">
      <c r="A139">
        <v>1105</v>
      </c>
      <c r="B139" t="s">
        <v>47</v>
      </c>
      <c r="C139">
        <v>35</v>
      </c>
      <c r="D139" t="str">
        <f t="shared" si="2"/>
        <v>31-40</v>
      </c>
      <c r="E139" t="s">
        <v>16</v>
      </c>
      <c r="F139" t="s">
        <v>35</v>
      </c>
      <c r="G139" t="s">
        <v>13</v>
      </c>
      <c r="H139">
        <v>7</v>
      </c>
      <c r="I139">
        <v>2602</v>
      </c>
      <c r="J139" t="s">
        <v>14</v>
      </c>
      <c r="K139">
        <v>0</v>
      </c>
    </row>
    <row r="140" spans="1:11" x14ac:dyDescent="0.25">
      <c r="A140">
        <v>1109</v>
      </c>
      <c r="B140" t="s">
        <v>37</v>
      </c>
      <c r="C140">
        <v>32</v>
      </c>
      <c r="D140" t="str">
        <f t="shared" si="2"/>
        <v>31-40</v>
      </c>
      <c r="E140" t="s">
        <v>11</v>
      </c>
      <c r="F140" t="s">
        <v>49</v>
      </c>
      <c r="G140" t="s">
        <v>41</v>
      </c>
      <c r="H140">
        <v>7</v>
      </c>
      <c r="I140">
        <v>1836</v>
      </c>
      <c r="J140" t="s">
        <v>14</v>
      </c>
      <c r="K140">
        <v>1</v>
      </c>
    </row>
    <row r="141" spans="1:11" x14ac:dyDescent="0.25">
      <c r="A141">
        <v>1110</v>
      </c>
      <c r="B141" t="s">
        <v>44</v>
      </c>
      <c r="C141">
        <v>32</v>
      </c>
      <c r="D141" t="str">
        <f t="shared" si="2"/>
        <v>31-40</v>
      </c>
      <c r="E141" t="s">
        <v>11</v>
      </c>
      <c r="F141" t="s">
        <v>27</v>
      </c>
      <c r="G141" t="s">
        <v>33</v>
      </c>
      <c r="H141">
        <v>8</v>
      </c>
      <c r="I141">
        <v>1117</v>
      </c>
      <c r="J141" t="s">
        <v>30</v>
      </c>
      <c r="K141">
        <v>2</v>
      </c>
    </row>
    <row r="142" spans="1:11" x14ac:dyDescent="0.25">
      <c r="A142">
        <v>1116</v>
      </c>
      <c r="B142" t="s">
        <v>51</v>
      </c>
      <c r="C142">
        <v>38</v>
      </c>
      <c r="D142" t="str">
        <f t="shared" si="2"/>
        <v>31-40</v>
      </c>
      <c r="E142" t="s">
        <v>16</v>
      </c>
      <c r="F142" t="s">
        <v>27</v>
      </c>
      <c r="G142" t="s">
        <v>18</v>
      </c>
      <c r="H142">
        <v>28</v>
      </c>
      <c r="I142">
        <v>1191</v>
      </c>
      <c r="J142" t="s">
        <v>30</v>
      </c>
      <c r="K142">
        <v>2</v>
      </c>
    </row>
    <row r="143" spans="1:11" x14ac:dyDescent="0.25">
      <c r="A143">
        <v>1125</v>
      </c>
      <c r="B143" t="s">
        <v>24</v>
      </c>
      <c r="C143">
        <v>36</v>
      </c>
      <c r="D143" t="str">
        <f t="shared" si="2"/>
        <v>31-40</v>
      </c>
      <c r="E143" t="s">
        <v>16</v>
      </c>
      <c r="F143" t="s">
        <v>17</v>
      </c>
      <c r="G143" t="s">
        <v>38</v>
      </c>
      <c r="H143">
        <v>7</v>
      </c>
      <c r="I143">
        <v>843</v>
      </c>
      <c r="J143" t="s">
        <v>43</v>
      </c>
      <c r="K143">
        <v>5</v>
      </c>
    </row>
    <row r="144" spans="1:11" x14ac:dyDescent="0.25">
      <c r="A144">
        <v>1129</v>
      </c>
      <c r="B144" t="s">
        <v>34</v>
      </c>
      <c r="C144">
        <v>34</v>
      </c>
      <c r="D144" t="str">
        <f t="shared" si="2"/>
        <v>31-40</v>
      </c>
      <c r="E144" t="s">
        <v>16</v>
      </c>
      <c r="F144" t="s">
        <v>35</v>
      </c>
      <c r="G144" t="s">
        <v>22</v>
      </c>
      <c r="H144">
        <v>9</v>
      </c>
      <c r="I144">
        <v>1153</v>
      </c>
      <c r="J144" t="s">
        <v>14</v>
      </c>
      <c r="K144">
        <v>1</v>
      </c>
    </row>
    <row r="145" spans="1:11" x14ac:dyDescent="0.25">
      <c r="A145">
        <v>1130</v>
      </c>
      <c r="B145" t="s">
        <v>42</v>
      </c>
      <c r="C145">
        <v>37</v>
      </c>
      <c r="D145" t="str">
        <f t="shared" si="2"/>
        <v>31-40</v>
      </c>
      <c r="E145" t="s">
        <v>16</v>
      </c>
      <c r="F145" t="s">
        <v>12</v>
      </c>
      <c r="G145" t="s">
        <v>38</v>
      </c>
      <c r="H145">
        <v>25</v>
      </c>
      <c r="I145">
        <v>982</v>
      </c>
      <c r="J145" t="s">
        <v>36</v>
      </c>
      <c r="K145">
        <v>10</v>
      </c>
    </row>
    <row r="146" spans="1:11" x14ac:dyDescent="0.25">
      <c r="A146">
        <v>1134</v>
      </c>
      <c r="B146" t="s">
        <v>20</v>
      </c>
      <c r="C146">
        <v>39</v>
      </c>
      <c r="D146" t="str">
        <f t="shared" si="2"/>
        <v>31-40</v>
      </c>
      <c r="E146" t="s">
        <v>11</v>
      </c>
      <c r="F146" t="s">
        <v>27</v>
      </c>
      <c r="G146" t="s">
        <v>22</v>
      </c>
      <c r="H146">
        <v>23</v>
      </c>
      <c r="I146">
        <v>1869</v>
      </c>
      <c r="J146" t="s">
        <v>43</v>
      </c>
      <c r="K146">
        <v>0</v>
      </c>
    </row>
    <row r="147" spans="1:11" x14ac:dyDescent="0.25">
      <c r="A147">
        <v>1140</v>
      </c>
      <c r="B147" t="s">
        <v>10</v>
      </c>
      <c r="C147">
        <v>33</v>
      </c>
      <c r="D147" t="str">
        <f t="shared" si="2"/>
        <v>31-40</v>
      </c>
      <c r="E147" t="s">
        <v>11</v>
      </c>
      <c r="F147" t="s">
        <v>21</v>
      </c>
      <c r="G147" t="s">
        <v>41</v>
      </c>
      <c r="H147">
        <v>18</v>
      </c>
      <c r="I147">
        <v>854</v>
      </c>
      <c r="J147" t="s">
        <v>30</v>
      </c>
      <c r="K147">
        <v>4</v>
      </c>
    </row>
    <row r="148" spans="1:11" x14ac:dyDescent="0.25">
      <c r="A148">
        <v>1141</v>
      </c>
      <c r="B148" t="s">
        <v>42</v>
      </c>
      <c r="C148">
        <v>31</v>
      </c>
      <c r="D148" t="str">
        <f t="shared" si="2"/>
        <v>31-40</v>
      </c>
      <c r="E148" t="s">
        <v>16</v>
      </c>
      <c r="F148" t="s">
        <v>49</v>
      </c>
      <c r="G148" t="s">
        <v>41</v>
      </c>
      <c r="H148">
        <v>5</v>
      </c>
      <c r="I148">
        <v>1914</v>
      </c>
      <c r="J148" t="s">
        <v>36</v>
      </c>
      <c r="K148">
        <v>5</v>
      </c>
    </row>
    <row r="149" spans="1:11" x14ac:dyDescent="0.25">
      <c r="A149">
        <v>1145</v>
      </c>
      <c r="B149" t="s">
        <v>47</v>
      </c>
      <c r="C149">
        <v>32</v>
      </c>
      <c r="D149" t="str">
        <f t="shared" si="2"/>
        <v>31-40</v>
      </c>
      <c r="E149" t="s">
        <v>16</v>
      </c>
      <c r="F149" t="s">
        <v>21</v>
      </c>
      <c r="G149" t="s">
        <v>22</v>
      </c>
      <c r="H149">
        <v>29</v>
      </c>
      <c r="I149">
        <v>2657</v>
      </c>
      <c r="J149" t="s">
        <v>30</v>
      </c>
      <c r="K149">
        <v>3</v>
      </c>
    </row>
    <row r="150" spans="1:11" x14ac:dyDescent="0.25">
      <c r="A150">
        <v>1146</v>
      </c>
      <c r="B150" t="s">
        <v>40</v>
      </c>
      <c r="C150">
        <v>35</v>
      </c>
      <c r="D150" t="str">
        <f t="shared" si="2"/>
        <v>31-40</v>
      </c>
      <c r="E150" t="s">
        <v>11</v>
      </c>
      <c r="F150" t="s">
        <v>32</v>
      </c>
      <c r="G150" t="s">
        <v>18</v>
      </c>
      <c r="H150">
        <v>9</v>
      </c>
      <c r="I150">
        <v>1557</v>
      </c>
      <c r="J150" t="s">
        <v>43</v>
      </c>
      <c r="K150">
        <v>10</v>
      </c>
    </row>
    <row r="151" spans="1:11" x14ac:dyDescent="0.25">
      <c r="A151">
        <v>1150</v>
      </c>
      <c r="B151" t="s">
        <v>42</v>
      </c>
      <c r="C151">
        <v>35</v>
      </c>
      <c r="D151" t="str">
        <f t="shared" si="2"/>
        <v>31-40</v>
      </c>
      <c r="E151" t="s">
        <v>16</v>
      </c>
      <c r="F151" t="s">
        <v>49</v>
      </c>
      <c r="G151" t="s">
        <v>38</v>
      </c>
      <c r="H151">
        <v>14</v>
      </c>
      <c r="I151">
        <v>1760</v>
      </c>
      <c r="J151" t="s">
        <v>30</v>
      </c>
      <c r="K151">
        <v>2</v>
      </c>
    </row>
    <row r="152" spans="1:11" x14ac:dyDescent="0.25">
      <c r="A152">
        <v>1156</v>
      </c>
      <c r="B152" t="s">
        <v>26</v>
      </c>
      <c r="C152">
        <v>36</v>
      </c>
      <c r="D152" t="str">
        <f t="shared" si="2"/>
        <v>31-40</v>
      </c>
      <c r="E152" t="s">
        <v>11</v>
      </c>
      <c r="F152" t="s">
        <v>17</v>
      </c>
      <c r="G152" t="s">
        <v>13</v>
      </c>
      <c r="H152">
        <v>26</v>
      </c>
      <c r="I152">
        <v>1627</v>
      </c>
      <c r="J152" t="s">
        <v>14</v>
      </c>
      <c r="K152">
        <v>3</v>
      </c>
    </row>
    <row r="153" spans="1:11" x14ac:dyDescent="0.25">
      <c r="A153">
        <v>1157</v>
      </c>
      <c r="B153" t="s">
        <v>24</v>
      </c>
      <c r="C153">
        <v>32</v>
      </c>
      <c r="D153" t="str">
        <f t="shared" si="2"/>
        <v>31-40</v>
      </c>
      <c r="E153" t="s">
        <v>11</v>
      </c>
      <c r="F153" t="s">
        <v>49</v>
      </c>
      <c r="G153" t="s">
        <v>22</v>
      </c>
      <c r="H153">
        <v>30</v>
      </c>
      <c r="I153">
        <v>1196</v>
      </c>
      <c r="J153" t="s">
        <v>19</v>
      </c>
      <c r="K153">
        <v>0</v>
      </c>
    </row>
    <row r="154" spans="1:11" x14ac:dyDescent="0.25">
      <c r="A154">
        <v>1161</v>
      </c>
      <c r="B154" t="s">
        <v>45</v>
      </c>
      <c r="C154">
        <v>36</v>
      </c>
      <c r="D154" t="str">
        <f t="shared" si="2"/>
        <v>31-40</v>
      </c>
      <c r="E154" t="s">
        <v>16</v>
      </c>
      <c r="F154" t="s">
        <v>25</v>
      </c>
      <c r="G154" t="s">
        <v>13</v>
      </c>
      <c r="H154">
        <v>11</v>
      </c>
      <c r="I154">
        <v>1148</v>
      </c>
      <c r="J154" t="s">
        <v>14</v>
      </c>
      <c r="K154">
        <v>1</v>
      </c>
    </row>
    <row r="155" spans="1:11" x14ac:dyDescent="0.25">
      <c r="A155">
        <v>1163</v>
      </c>
      <c r="B155" t="s">
        <v>10</v>
      </c>
      <c r="C155">
        <v>35</v>
      </c>
      <c r="D155" t="str">
        <f t="shared" si="2"/>
        <v>31-40</v>
      </c>
      <c r="E155" t="s">
        <v>16</v>
      </c>
      <c r="F155" t="s">
        <v>35</v>
      </c>
      <c r="G155" t="s">
        <v>29</v>
      </c>
      <c r="H155">
        <v>5</v>
      </c>
      <c r="I155">
        <v>853</v>
      </c>
      <c r="J155" t="s">
        <v>14</v>
      </c>
      <c r="K155">
        <v>1</v>
      </c>
    </row>
    <row r="156" spans="1:11" x14ac:dyDescent="0.25">
      <c r="A156">
        <v>1165</v>
      </c>
      <c r="B156" t="s">
        <v>46</v>
      </c>
      <c r="C156">
        <v>34</v>
      </c>
      <c r="D156" t="str">
        <f t="shared" si="2"/>
        <v>31-40</v>
      </c>
      <c r="E156" t="s">
        <v>16</v>
      </c>
      <c r="F156" t="s">
        <v>21</v>
      </c>
      <c r="G156" t="s">
        <v>22</v>
      </c>
      <c r="H156">
        <v>11</v>
      </c>
      <c r="I156">
        <v>2223</v>
      </c>
      <c r="J156" t="s">
        <v>19</v>
      </c>
      <c r="K156">
        <v>5</v>
      </c>
    </row>
    <row r="157" spans="1:11" x14ac:dyDescent="0.25">
      <c r="A157">
        <v>1175</v>
      </c>
      <c r="B157" t="s">
        <v>10</v>
      </c>
      <c r="C157">
        <v>32</v>
      </c>
      <c r="D157" t="str">
        <f t="shared" si="2"/>
        <v>31-40</v>
      </c>
      <c r="E157" t="s">
        <v>11</v>
      </c>
      <c r="F157" t="s">
        <v>25</v>
      </c>
      <c r="G157" t="s">
        <v>33</v>
      </c>
      <c r="H157">
        <v>7</v>
      </c>
      <c r="I157">
        <v>1031</v>
      </c>
      <c r="J157" t="s">
        <v>14</v>
      </c>
      <c r="K157">
        <v>4</v>
      </c>
    </row>
    <row r="158" spans="1:11" x14ac:dyDescent="0.25">
      <c r="A158">
        <v>1177</v>
      </c>
      <c r="B158" t="s">
        <v>28</v>
      </c>
      <c r="C158">
        <v>33</v>
      </c>
      <c r="D158" t="str">
        <f t="shared" si="2"/>
        <v>31-40</v>
      </c>
      <c r="E158" t="s">
        <v>16</v>
      </c>
      <c r="F158" t="s">
        <v>12</v>
      </c>
      <c r="G158" t="s">
        <v>29</v>
      </c>
      <c r="H158">
        <v>9</v>
      </c>
      <c r="I158">
        <v>1114</v>
      </c>
      <c r="J158" t="s">
        <v>23</v>
      </c>
      <c r="K158">
        <v>3</v>
      </c>
    </row>
    <row r="159" spans="1:11" x14ac:dyDescent="0.25">
      <c r="A159">
        <v>1179</v>
      </c>
      <c r="B159" t="s">
        <v>15</v>
      </c>
      <c r="C159">
        <v>34</v>
      </c>
      <c r="D159" t="str">
        <f t="shared" si="2"/>
        <v>31-40</v>
      </c>
      <c r="E159" t="s">
        <v>11</v>
      </c>
      <c r="F159" t="s">
        <v>17</v>
      </c>
      <c r="G159" t="s">
        <v>41</v>
      </c>
      <c r="H159">
        <v>12</v>
      </c>
      <c r="I159">
        <v>2450</v>
      </c>
      <c r="J159" t="s">
        <v>36</v>
      </c>
      <c r="K159">
        <v>9</v>
      </c>
    </row>
    <row r="160" spans="1:11" x14ac:dyDescent="0.25">
      <c r="A160">
        <v>1181</v>
      </c>
      <c r="B160" t="s">
        <v>42</v>
      </c>
      <c r="C160">
        <v>36</v>
      </c>
      <c r="D160" t="str">
        <f t="shared" si="2"/>
        <v>31-40</v>
      </c>
      <c r="E160" t="s">
        <v>11</v>
      </c>
      <c r="F160" t="s">
        <v>17</v>
      </c>
      <c r="G160" t="s">
        <v>18</v>
      </c>
      <c r="H160">
        <v>12</v>
      </c>
      <c r="I160">
        <v>576</v>
      </c>
      <c r="J160" t="s">
        <v>19</v>
      </c>
      <c r="K160">
        <v>0</v>
      </c>
    </row>
    <row r="161" spans="1:11" x14ac:dyDescent="0.25">
      <c r="A161">
        <v>1197</v>
      </c>
      <c r="B161" t="s">
        <v>40</v>
      </c>
      <c r="C161">
        <v>33</v>
      </c>
      <c r="D161" t="str">
        <f t="shared" si="2"/>
        <v>31-40</v>
      </c>
      <c r="E161" t="s">
        <v>11</v>
      </c>
      <c r="F161" t="s">
        <v>32</v>
      </c>
      <c r="G161" t="s">
        <v>38</v>
      </c>
      <c r="H161">
        <v>17</v>
      </c>
      <c r="I161">
        <v>915</v>
      </c>
      <c r="J161" t="s">
        <v>36</v>
      </c>
      <c r="K161">
        <v>1</v>
      </c>
    </row>
    <row r="162" spans="1:11" x14ac:dyDescent="0.25">
      <c r="A162">
        <v>1202</v>
      </c>
      <c r="B162" t="s">
        <v>50</v>
      </c>
      <c r="C162">
        <v>40</v>
      </c>
      <c r="D162" t="str">
        <f t="shared" si="2"/>
        <v>31-40</v>
      </c>
      <c r="E162" t="s">
        <v>16</v>
      </c>
      <c r="F162" t="s">
        <v>32</v>
      </c>
      <c r="G162" t="s">
        <v>33</v>
      </c>
      <c r="H162">
        <v>30</v>
      </c>
      <c r="I162">
        <v>882</v>
      </c>
      <c r="J162" t="s">
        <v>30</v>
      </c>
      <c r="K162">
        <v>9</v>
      </c>
    </row>
    <row r="163" spans="1:11" x14ac:dyDescent="0.25">
      <c r="A163">
        <v>1203</v>
      </c>
      <c r="B163" t="s">
        <v>46</v>
      </c>
      <c r="C163">
        <v>37</v>
      </c>
      <c r="D163" t="str">
        <f t="shared" si="2"/>
        <v>31-40</v>
      </c>
      <c r="E163" t="s">
        <v>16</v>
      </c>
      <c r="F163" t="s">
        <v>49</v>
      </c>
      <c r="G163" t="s">
        <v>38</v>
      </c>
      <c r="H163">
        <v>17</v>
      </c>
      <c r="I163">
        <v>2193</v>
      </c>
      <c r="J163" t="s">
        <v>43</v>
      </c>
      <c r="K163">
        <v>3</v>
      </c>
    </row>
    <row r="164" spans="1:11" x14ac:dyDescent="0.25">
      <c r="A164">
        <v>1211</v>
      </c>
      <c r="B164" t="s">
        <v>51</v>
      </c>
      <c r="C164">
        <v>32</v>
      </c>
      <c r="D164" t="str">
        <f t="shared" si="2"/>
        <v>31-40</v>
      </c>
      <c r="E164" t="s">
        <v>16</v>
      </c>
      <c r="F164" t="s">
        <v>32</v>
      </c>
      <c r="G164" t="s">
        <v>22</v>
      </c>
      <c r="H164">
        <v>8</v>
      </c>
      <c r="I164">
        <v>2314</v>
      </c>
      <c r="J164" t="s">
        <v>14</v>
      </c>
      <c r="K164">
        <v>4</v>
      </c>
    </row>
    <row r="165" spans="1:11" x14ac:dyDescent="0.25">
      <c r="A165">
        <v>1214</v>
      </c>
      <c r="B165" t="s">
        <v>24</v>
      </c>
      <c r="C165">
        <v>32</v>
      </c>
      <c r="D165" t="str">
        <f t="shared" si="2"/>
        <v>31-40</v>
      </c>
      <c r="E165" t="s">
        <v>11</v>
      </c>
      <c r="F165" t="s">
        <v>25</v>
      </c>
      <c r="G165" t="s">
        <v>13</v>
      </c>
      <c r="H165">
        <v>10</v>
      </c>
      <c r="I165">
        <v>2383</v>
      </c>
      <c r="J165" t="s">
        <v>43</v>
      </c>
      <c r="K165">
        <v>0</v>
      </c>
    </row>
    <row r="166" spans="1:11" x14ac:dyDescent="0.25">
      <c r="A166">
        <v>1220</v>
      </c>
      <c r="B166" t="s">
        <v>31</v>
      </c>
      <c r="C166">
        <v>35</v>
      </c>
      <c r="D166" t="str">
        <f t="shared" si="2"/>
        <v>31-40</v>
      </c>
      <c r="E166" t="s">
        <v>11</v>
      </c>
      <c r="F166" t="s">
        <v>25</v>
      </c>
      <c r="G166" t="s">
        <v>33</v>
      </c>
      <c r="H166">
        <v>6</v>
      </c>
      <c r="I166">
        <v>2610</v>
      </c>
      <c r="J166" t="s">
        <v>19</v>
      </c>
      <c r="K166">
        <v>10</v>
      </c>
    </row>
    <row r="167" spans="1:11" x14ac:dyDescent="0.25">
      <c r="A167">
        <v>1225</v>
      </c>
      <c r="B167" t="s">
        <v>47</v>
      </c>
      <c r="C167">
        <v>40</v>
      </c>
      <c r="D167" t="str">
        <f t="shared" si="2"/>
        <v>31-40</v>
      </c>
      <c r="E167" t="s">
        <v>11</v>
      </c>
      <c r="F167" t="s">
        <v>32</v>
      </c>
      <c r="G167" t="s">
        <v>33</v>
      </c>
      <c r="H167">
        <v>26</v>
      </c>
      <c r="I167">
        <v>1306</v>
      </c>
      <c r="J167" t="s">
        <v>19</v>
      </c>
      <c r="K167">
        <v>10</v>
      </c>
    </row>
    <row r="168" spans="1:11" x14ac:dyDescent="0.25">
      <c r="A168">
        <v>1228</v>
      </c>
      <c r="B168" t="s">
        <v>44</v>
      </c>
      <c r="C168">
        <v>39</v>
      </c>
      <c r="D168" t="str">
        <f t="shared" si="2"/>
        <v>31-40</v>
      </c>
      <c r="E168" t="s">
        <v>16</v>
      </c>
      <c r="F168" t="s">
        <v>17</v>
      </c>
      <c r="G168" t="s">
        <v>33</v>
      </c>
      <c r="H168">
        <v>19</v>
      </c>
      <c r="I168">
        <v>1638</v>
      </c>
      <c r="J168" t="s">
        <v>43</v>
      </c>
      <c r="K168">
        <v>2</v>
      </c>
    </row>
    <row r="169" spans="1:11" x14ac:dyDescent="0.25">
      <c r="A169">
        <v>1230</v>
      </c>
      <c r="B169" t="s">
        <v>15</v>
      </c>
      <c r="C169">
        <v>36</v>
      </c>
      <c r="D169" t="str">
        <f t="shared" si="2"/>
        <v>31-40</v>
      </c>
      <c r="E169" t="s">
        <v>16</v>
      </c>
      <c r="F169" t="s">
        <v>49</v>
      </c>
      <c r="G169" t="s">
        <v>29</v>
      </c>
      <c r="H169">
        <v>19</v>
      </c>
      <c r="I169">
        <v>2763</v>
      </c>
      <c r="J169" t="s">
        <v>23</v>
      </c>
      <c r="K169">
        <v>0</v>
      </c>
    </row>
    <row r="170" spans="1:11" x14ac:dyDescent="0.25">
      <c r="A170">
        <v>1235</v>
      </c>
      <c r="B170" t="s">
        <v>42</v>
      </c>
      <c r="C170">
        <v>31</v>
      </c>
      <c r="D170" t="str">
        <f t="shared" si="2"/>
        <v>31-40</v>
      </c>
      <c r="E170" t="s">
        <v>11</v>
      </c>
      <c r="F170" t="s">
        <v>35</v>
      </c>
      <c r="G170" t="s">
        <v>22</v>
      </c>
      <c r="H170">
        <v>30</v>
      </c>
      <c r="I170">
        <v>1000</v>
      </c>
      <c r="J170" t="s">
        <v>23</v>
      </c>
      <c r="K170">
        <v>1</v>
      </c>
    </row>
    <row r="171" spans="1:11" x14ac:dyDescent="0.25">
      <c r="A171">
        <v>1239</v>
      </c>
      <c r="B171" t="s">
        <v>15</v>
      </c>
      <c r="C171">
        <v>38</v>
      </c>
      <c r="D171" t="str">
        <f t="shared" si="2"/>
        <v>31-40</v>
      </c>
      <c r="E171" t="s">
        <v>11</v>
      </c>
      <c r="F171" t="s">
        <v>12</v>
      </c>
      <c r="G171" t="s">
        <v>38</v>
      </c>
      <c r="H171">
        <v>21</v>
      </c>
      <c r="I171">
        <v>1624</v>
      </c>
      <c r="J171" t="s">
        <v>36</v>
      </c>
      <c r="K171">
        <v>9</v>
      </c>
    </row>
    <row r="172" spans="1:11" x14ac:dyDescent="0.25">
      <c r="A172">
        <v>1241</v>
      </c>
      <c r="B172" t="s">
        <v>37</v>
      </c>
      <c r="C172">
        <v>35</v>
      </c>
      <c r="D172" t="str">
        <f t="shared" si="2"/>
        <v>31-40</v>
      </c>
      <c r="E172" t="s">
        <v>16</v>
      </c>
      <c r="F172" t="s">
        <v>17</v>
      </c>
      <c r="G172" t="s">
        <v>22</v>
      </c>
      <c r="H172">
        <v>7</v>
      </c>
      <c r="I172">
        <v>2040</v>
      </c>
      <c r="J172" t="s">
        <v>36</v>
      </c>
      <c r="K172">
        <v>0</v>
      </c>
    </row>
    <row r="173" spans="1:11" x14ac:dyDescent="0.25">
      <c r="A173">
        <v>1242</v>
      </c>
      <c r="B173" t="s">
        <v>48</v>
      </c>
      <c r="C173">
        <v>31</v>
      </c>
      <c r="D173" t="str">
        <f t="shared" si="2"/>
        <v>31-40</v>
      </c>
      <c r="E173" t="s">
        <v>16</v>
      </c>
      <c r="F173" t="s">
        <v>35</v>
      </c>
      <c r="G173" t="s">
        <v>33</v>
      </c>
      <c r="H173">
        <v>18</v>
      </c>
      <c r="I173">
        <v>2417</v>
      </c>
      <c r="J173" t="s">
        <v>19</v>
      </c>
      <c r="K173">
        <v>5</v>
      </c>
    </row>
    <row r="174" spans="1:11" x14ac:dyDescent="0.25">
      <c r="A174">
        <v>1243</v>
      </c>
      <c r="B174" t="s">
        <v>47</v>
      </c>
      <c r="C174">
        <v>33</v>
      </c>
      <c r="D174" t="str">
        <f t="shared" si="2"/>
        <v>31-40</v>
      </c>
      <c r="E174" t="s">
        <v>11</v>
      </c>
      <c r="F174" t="s">
        <v>25</v>
      </c>
      <c r="G174" t="s">
        <v>22</v>
      </c>
      <c r="H174">
        <v>16</v>
      </c>
      <c r="I174">
        <v>2485</v>
      </c>
      <c r="J174" t="s">
        <v>19</v>
      </c>
      <c r="K174">
        <v>9</v>
      </c>
    </row>
    <row r="175" spans="1:11" x14ac:dyDescent="0.25">
      <c r="A175">
        <v>1249</v>
      </c>
      <c r="B175" t="s">
        <v>15</v>
      </c>
      <c r="C175">
        <v>34</v>
      </c>
      <c r="D175" t="str">
        <f t="shared" si="2"/>
        <v>31-40</v>
      </c>
      <c r="E175" t="s">
        <v>16</v>
      </c>
      <c r="F175" t="s">
        <v>17</v>
      </c>
      <c r="G175" t="s">
        <v>29</v>
      </c>
      <c r="H175">
        <v>29</v>
      </c>
      <c r="I175">
        <v>2186</v>
      </c>
      <c r="J175" t="s">
        <v>19</v>
      </c>
      <c r="K175">
        <v>3</v>
      </c>
    </row>
    <row r="176" spans="1:11" x14ac:dyDescent="0.25">
      <c r="A176">
        <v>1002</v>
      </c>
      <c r="B176" t="s">
        <v>15</v>
      </c>
      <c r="C176">
        <v>47</v>
      </c>
      <c r="D176" t="str">
        <f t="shared" si="2"/>
        <v>41-50</v>
      </c>
      <c r="E176" t="s">
        <v>16</v>
      </c>
      <c r="F176" t="s">
        <v>17</v>
      </c>
      <c r="G176" t="s">
        <v>18</v>
      </c>
      <c r="H176">
        <v>16</v>
      </c>
      <c r="I176">
        <v>2738</v>
      </c>
      <c r="J176" t="s">
        <v>19</v>
      </c>
      <c r="K176">
        <v>6</v>
      </c>
    </row>
    <row r="177" spans="1:11" x14ac:dyDescent="0.25">
      <c r="A177">
        <v>1003</v>
      </c>
      <c r="B177" t="s">
        <v>20</v>
      </c>
      <c r="C177">
        <v>42</v>
      </c>
      <c r="D177" t="str">
        <f t="shared" si="2"/>
        <v>41-50</v>
      </c>
      <c r="E177" t="s">
        <v>11</v>
      </c>
      <c r="F177" t="s">
        <v>21</v>
      </c>
      <c r="G177" t="s">
        <v>22</v>
      </c>
      <c r="H177">
        <v>27</v>
      </c>
      <c r="I177">
        <v>2865</v>
      </c>
      <c r="J177" t="s">
        <v>23</v>
      </c>
      <c r="K177">
        <v>5</v>
      </c>
    </row>
    <row r="178" spans="1:11" x14ac:dyDescent="0.25">
      <c r="A178">
        <v>1008</v>
      </c>
      <c r="B178" t="s">
        <v>34</v>
      </c>
      <c r="C178">
        <v>45</v>
      </c>
      <c r="D178" t="str">
        <f t="shared" si="2"/>
        <v>41-50</v>
      </c>
      <c r="E178" t="s">
        <v>11</v>
      </c>
      <c r="F178" t="s">
        <v>35</v>
      </c>
      <c r="G178" t="s">
        <v>18</v>
      </c>
      <c r="H178">
        <v>11</v>
      </c>
      <c r="I178">
        <v>509</v>
      </c>
      <c r="J178" t="s">
        <v>36</v>
      </c>
      <c r="K178">
        <v>5</v>
      </c>
    </row>
    <row r="179" spans="1:11" x14ac:dyDescent="0.25">
      <c r="A179">
        <v>1013</v>
      </c>
      <c r="B179" t="s">
        <v>20</v>
      </c>
      <c r="C179">
        <v>47</v>
      </c>
      <c r="D179" t="str">
        <f t="shared" si="2"/>
        <v>41-50</v>
      </c>
      <c r="E179" t="s">
        <v>16</v>
      </c>
      <c r="F179" t="s">
        <v>17</v>
      </c>
      <c r="G179" t="s">
        <v>13</v>
      </c>
      <c r="H179">
        <v>9</v>
      </c>
      <c r="I179">
        <v>1339</v>
      </c>
      <c r="J179" t="s">
        <v>43</v>
      </c>
      <c r="K179">
        <v>5</v>
      </c>
    </row>
    <row r="180" spans="1:11" x14ac:dyDescent="0.25">
      <c r="A180">
        <v>1017</v>
      </c>
      <c r="B180" t="s">
        <v>37</v>
      </c>
      <c r="C180">
        <v>45</v>
      </c>
      <c r="D180" t="str">
        <f t="shared" si="2"/>
        <v>41-50</v>
      </c>
      <c r="E180" t="s">
        <v>16</v>
      </c>
      <c r="F180" t="s">
        <v>27</v>
      </c>
      <c r="G180" t="s">
        <v>13</v>
      </c>
      <c r="H180">
        <v>17</v>
      </c>
      <c r="I180">
        <v>2216</v>
      </c>
      <c r="J180" t="s">
        <v>43</v>
      </c>
      <c r="K180">
        <v>1</v>
      </c>
    </row>
    <row r="181" spans="1:11" x14ac:dyDescent="0.25">
      <c r="A181">
        <v>1019</v>
      </c>
      <c r="B181" t="s">
        <v>34</v>
      </c>
      <c r="C181">
        <v>49</v>
      </c>
      <c r="D181" t="str">
        <f t="shared" si="2"/>
        <v>41-50</v>
      </c>
      <c r="E181" t="s">
        <v>16</v>
      </c>
      <c r="F181" t="s">
        <v>25</v>
      </c>
      <c r="G181" t="s">
        <v>33</v>
      </c>
      <c r="H181">
        <v>9</v>
      </c>
      <c r="I181">
        <v>1715</v>
      </c>
      <c r="J181" t="s">
        <v>23</v>
      </c>
      <c r="K181">
        <v>9</v>
      </c>
    </row>
    <row r="182" spans="1:11" x14ac:dyDescent="0.25">
      <c r="A182">
        <v>1027</v>
      </c>
      <c r="B182" t="s">
        <v>46</v>
      </c>
      <c r="C182">
        <v>49</v>
      </c>
      <c r="D182" t="str">
        <f t="shared" si="2"/>
        <v>41-50</v>
      </c>
      <c r="E182" t="s">
        <v>11</v>
      </c>
      <c r="F182" t="s">
        <v>49</v>
      </c>
      <c r="G182" t="s">
        <v>18</v>
      </c>
      <c r="H182">
        <v>18</v>
      </c>
      <c r="I182">
        <v>2578</v>
      </c>
      <c r="J182" t="s">
        <v>30</v>
      </c>
      <c r="K182">
        <v>3</v>
      </c>
    </row>
    <row r="183" spans="1:11" x14ac:dyDescent="0.25">
      <c r="A183">
        <v>1028</v>
      </c>
      <c r="B183" t="s">
        <v>31</v>
      </c>
      <c r="C183">
        <v>49</v>
      </c>
      <c r="D183" t="str">
        <f t="shared" si="2"/>
        <v>41-50</v>
      </c>
      <c r="E183" t="s">
        <v>16</v>
      </c>
      <c r="F183" t="s">
        <v>49</v>
      </c>
      <c r="G183" t="s">
        <v>29</v>
      </c>
      <c r="H183">
        <v>18</v>
      </c>
      <c r="I183">
        <v>1651</v>
      </c>
      <c r="J183" t="s">
        <v>14</v>
      </c>
      <c r="K183">
        <v>0</v>
      </c>
    </row>
    <row r="184" spans="1:11" x14ac:dyDescent="0.25">
      <c r="A184">
        <v>1031</v>
      </c>
      <c r="B184" t="s">
        <v>20</v>
      </c>
      <c r="C184">
        <v>48</v>
      </c>
      <c r="D184" t="str">
        <f t="shared" si="2"/>
        <v>41-50</v>
      </c>
      <c r="E184" t="s">
        <v>16</v>
      </c>
      <c r="F184" t="s">
        <v>49</v>
      </c>
      <c r="G184" t="s">
        <v>13</v>
      </c>
      <c r="H184">
        <v>28</v>
      </c>
      <c r="I184">
        <v>1749</v>
      </c>
      <c r="J184" t="s">
        <v>30</v>
      </c>
      <c r="K184">
        <v>5</v>
      </c>
    </row>
    <row r="185" spans="1:11" x14ac:dyDescent="0.25">
      <c r="A185">
        <v>1033</v>
      </c>
      <c r="B185" t="s">
        <v>39</v>
      </c>
      <c r="C185">
        <v>49</v>
      </c>
      <c r="D185" t="str">
        <f t="shared" si="2"/>
        <v>41-50</v>
      </c>
      <c r="E185" t="s">
        <v>11</v>
      </c>
      <c r="F185" t="s">
        <v>27</v>
      </c>
      <c r="G185" t="s">
        <v>33</v>
      </c>
      <c r="H185">
        <v>28</v>
      </c>
      <c r="I185">
        <v>2602</v>
      </c>
      <c r="J185" t="s">
        <v>43</v>
      </c>
      <c r="K185">
        <v>2</v>
      </c>
    </row>
    <row r="186" spans="1:11" x14ac:dyDescent="0.25">
      <c r="A186">
        <v>1036</v>
      </c>
      <c r="B186" t="s">
        <v>31</v>
      </c>
      <c r="C186">
        <v>42</v>
      </c>
      <c r="D186" t="str">
        <f t="shared" si="2"/>
        <v>41-50</v>
      </c>
      <c r="E186" t="s">
        <v>16</v>
      </c>
      <c r="F186" t="s">
        <v>49</v>
      </c>
      <c r="G186" t="s">
        <v>13</v>
      </c>
      <c r="H186">
        <v>27</v>
      </c>
      <c r="I186">
        <v>1455</v>
      </c>
      <c r="J186" t="s">
        <v>23</v>
      </c>
      <c r="K186">
        <v>10</v>
      </c>
    </row>
    <row r="187" spans="1:11" x14ac:dyDescent="0.25">
      <c r="A187">
        <v>1041</v>
      </c>
      <c r="B187" t="s">
        <v>39</v>
      </c>
      <c r="C187">
        <v>41</v>
      </c>
      <c r="D187" t="str">
        <f t="shared" si="2"/>
        <v>41-50</v>
      </c>
      <c r="E187" t="s">
        <v>16</v>
      </c>
      <c r="F187" t="s">
        <v>32</v>
      </c>
      <c r="G187" t="s">
        <v>33</v>
      </c>
      <c r="H187">
        <v>6</v>
      </c>
      <c r="I187">
        <v>720</v>
      </c>
      <c r="J187" t="s">
        <v>19</v>
      </c>
      <c r="K187">
        <v>4</v>
      </c>
    </row>
    <row r="188" spans="1:11" x14ac:dyDescent="0.25">
      <c r="A188">
        <v>1042</v>
      </c>
      <c r="B188" t="s">
        <v>26</v>
      </c>
      <c r="C188">
        <v>46</v>
      </c>
      <c r="D188" t="str">
        <f t="shared" si="2"/>
        <v>41-50</v>
      </c>
      <c r="E188" t="s">
        <v>16</v>
      </c>
      <c r="F188" t="s">
        <v>17</v>
      </c>
      <c r="G188" t="s">
        <v>38</v>
      </c>
      <c r="H188">
        <v>16</v>
      </c>
      <c r="I188">
        <v>2224</v>
      </c>
      <c r="J188" t="s">
        <v>30</v>
      </c>
      <c r="K188">
        <v>5</v>
      </c>
    </row>
    <row r="189" spans="1:11" x14ac:dyDescent="0.25">
      <c r="A189">
        <v>1045</v>
      </c>
      <c r="B189" t="s">
        <v>39</v>
      </c>
      <c r="C189">
        <v>43</v>
      </c>
      <c r="D189" t="str">
        <f t="shared" si="2"/>
        <v>41-50</v>
      </c>
      <c r="E189" t="s">
        <v>11</v>
      </c>
      <c r="F189" t="s">
        <v>21</v>
      </c>
      <c r="G189" t="s">
        <v>33</v>
      </c>
      <c r="H189">
        <v>22</v>
      </c>
      <c r="I189">
        <v>2779</v>
      </c>
      <c r="J189" t="s">
        <v>36</v>
      </c>
      <c r="K189">
        <v>0</v>
      </c>
    </row>
    <row r="190" spans="1:11" x14ac:dyDescent="0.25">
      <c r="A190">
        <v>1056</v>
      </c>
      <c r="B190" t="s">
        <v>34</v>
      </c>
      <c r="C190">
        <v>50</v>
      </c>
      <c r="D190" t="str">
        <f t="shared" si="2"/>
        <v>41-50</v>
      </c>
      <c r="E190" t="s">
        <v>11</v>
      </c>
      <c r="F190" t="s">
        <v>25</v>
      </c>
      <c r="G190" t="s">
        <v>41</v>
      </c>
      <c r="H190">
        <v>12</v>
      </c>
      <c r="I190">
        <v>504</v>
      </c>
      <c r="J190" t="s">
        <v>30</v>
      </c>
      <c r="K190">
        <v>4</v>
      </c>
    </row>
    <row r="191" spans="1:11" x14ac:dyDescent="0.25">
      <c r="A191">
        <v>1059</v>
      </c>
      <c r="B191" t="s">
        <v>48</v>
      </c>
      <c r="C191">
        <v>42</v>
      </c>
      <c r="D191" t="str">
        <f t="shared" si="2"/>
        <v>41-50</v>
      </c>
      <c r="E191" t="s">
        <v>16</v>
      </c>
      <c r="F191" t="s">
        <v>25</v>
      </c>
      <c r="G191" t="s">
        <v>38</v>
      </c>
      <c r="H191">
        <v>19</v>
      </c>
      <c r="I191">
        <v>1937</v>
      </c>
      <c r="J191" t="s">
        <v>30</v>
      </c>
      <c r="K191">
        <v>6</v>
      </c>
    </row>
    <row r="192" spans="1:11" x14ac:dyDescent="0.25">
      <c r="A192">
        <v>1060</v>
      </c>
      <c r="B192" t="s">
        <v>45</v>
      </c>
      <c r="C192">
        <v>48</v>
      </c>
      <c r="D192" t="str">
        <f t="shared" si="2"/>
        <v>41-50</v>
      </c>
      <c r="E192" t="s">
        <v>11</v>
      </c>
      <c r="F192" t="s">
        <v>25</v>
      </c>
      <c r="G192" t="s">
        <v>33</v>
      </c>
      <c r="H192">
        <v>27</v>
      </c>
      <c r="I192">
        <v>1695</v>
      </c>
      <c r="J192" t="s">
        <v>43</v>
      </c>
      <c r="K192">
        <v>9</v>
      </c>
    </row>
    <row r="193" spans="1:11" x14ac:dyDescent="0.25">
      <c r="A193">
        <v>1061</v>
      </c>
      <c r="B193" t="s">
        <v>39</v>
      </c>
      <c r="C193">
        <v>44</v>
      </c>
      <c r="D193" t="str">
        <f t="shared" si="2"/>
        <v>41-50</v>
      </c>
      <c r="E193" t="s">
        <v>11</v>
      </c>
      <c r="F193" t="s">
        <v>32</v>
      </c>
      <c r="G193" t="s">
        <v>29</v>
      </c>
      <c r="H193">
        <v>29</v>
      </c>
      <c r="I193">
        <v>2493</v>
      </c>
      <c r="J193" t="s">
        <v>30</v>
      </c>
      <c r="K193">
        <v>1</v>
      </c>
    </row>
    <row r="194" spans="1:11" x14ac:dyDescent="0.25">
      <c r="A194">
        <v>1062</v>
      </c>
      <c r="B194" t="s">
        <v>37</v>
      </c>
      <c r="C194">
        <v>50</v>
      </c>
      <c r="D194" t="str">
        <f t="shared" ref="D194:D251" si="3">IF(C194&lt;=20,"10-20",IF(C194&lt;=30,"21-30",IF(C194&lt;=40,"31-40",IF(C194&lt;=50,"41-50","51-60"))))</f>
        <v>41-50</v>
      </c>
      <c r="E194" t="s">
        <v>16</v>
      </c>
      <c r="F194" t="s">
        <v>17</v>
      </c>
      <c r="G194" t="s">
        <v>38</v>
      </c>
      <c r="H194">
        <v>23</v>
      </c>
      <c r="I194">
        <v>1168</v>
      </c>
      <c r="J194" t="s">
        <v>36</v>
      </c>
      <c r="K194">
        <v>0</v>
      </c>
    </row>
    <row r="195" spans="1:11" x14ac:dyDescent="0.25">
      <c r="A195">
        <v>1064</v>
      </c>
      <c r="B195" t="s">
        <v>45</v>
      </c>
      <c r="C195">
        <v>46</v>
      </c>
      <c r="D195" t="str">
        <f t="shared" si="3"/>
        <v>41-50</v>
      </c>
      <c r="E195" t="s">
        <v>16</v>
      </c>
      <c r="F195" t="s">
        <v>25</v>
      </c>
      <c r="G195" t="s">
        <v>33</v>
      </c>
      <c r="H195">
        <v>6</v>
      </c>
      <c r="I195">
        <v>901</v>
      </c>
      <c r="J195" t="s">
        <v>43</v>
      </c>
      <c r="K195">
        <v>6</v>
      </c>
    </row>
    <row r="196" spans="1:11" x14ac:dyDescent="0.25">
      <c r="A196">
        <v>1069</v>
      </c>
      <c r="B196" t="s">
        <v>34</v>
      </c>
      <c r="C196">
        <v>42</v>
      </c>
      <c r="D196" t="str">
        <f t="shared" si="3"/>
        <v>41-50</v>
      </c>
      <c r="E196" t="s">
        <v>11</v>
      </c>
      <c r="F196" t="s">
        <v>32</v>
      </c>
      <c r="G196" t="s">
        <v>29</v>
      </c>
      <c r="H196">
        <v>10</v>
      </c>
      <c r="I196">
        <v>2335</v>
      </c>
      <c r="J196" t="s">
        <v>19</v>
      </c>
      <c r="K196">
        <v>6</v>
      </c>
    </row>
    <row r="197" spans="1:11" x14ac:dyDescent="0.25">
      <c r="A197">
        <v>1071</v>
      </c>
      <c r="B197" t="s">
        <v>45</v>
      </c>
      <c r="C197">
        <v>41</v>
      </c>
      <c r="D197" t="str">
        <f t="shared" si="3"/>
        <v>41-50</v>
      </c>
      <c r="E197" t="s">
        <v>16</v>
      </c>
      <c r="F197" t="s">
        <v>32</v>
      </c>
      <c r="G197" t="s">
        <v>22</v>
      </c>
      <c r="H197">
        <v>12</v>
      </c>
      <c r="I197">
        <v>2209</v>
      </c>
      <c r="J197" t="s">
        <v>30</v>
      </c>
      <c r="K197">
        <v>10</v>
      </c>
    </row>
    <row r="198" spans="1:11" x14ac:dyDescent="0.25">
      <c r="A198">
        <v>1074</v>
      </c>
      <c r="B198" t="s">
        <v>45</v>
      </c>
      <c r="C198">
        <v>44</v>
      </c>
      <c r="D198" t="str">
        <f t="shared" si="3"/>
        <v>41-50</v>
      </c>
      <c r="E198" t="s">
        <v>11</v>
      </c>
      <c r="F198" t="s">
        <v>49</v>
      </c>
      <c r="G198" t="s">
        <v>33</v>
      </c>
      <c r="H198">
        <v>30</v>
      </c>
      <c r="I198">
        <v>925</v>
      </c>
      <c r="J198" t="s">
        <v>14</v>
      </c>
      <c r="K198">
        <v>10</v>
      </c>
    </row>
    <row r="199" spans="1:11" x14ac:dyDescent="0.25">
      <c r="A199">
        <v>1076</v>
      </c>
      <c r="B199" t="s">
        <v>20</v>
      </c>
      <c r="C199">
        <v>50</v>
      </c>
      <c r="D199" t="str">
        <f t="shared" si="3"/>
        <v>41-50</v>
      </c>
      <c r="E199" t="s">
        <v>16</v>
      </c>
      <c r="F199" t="s">
        <v>21</v>
      </c>
      <c r="G199" t="s">
        <v>33</v>
      </c>
      <c r="H199">
        <v>12</v>
      </c>
      <c r="I199">
        <v>1247</v>
      </c>
      <c r="J199" t="s">
        <v>43</v>
      </c>
      <c r="K199">
        <v>5</v>
      </c>
    </row>
    <row r="200" spans="1:11" x14ac:dyDescent="0.25">
      <c r="A200">
        <v>1081</v>
      </c>
      <c r="B200" t="s">
        <v>44</v>
      </c>
      <c r="C200">
        <v>45</v>
      </c>
      <c r="D200" t="str">
        <f t="shared" si="3"/>
        <v>41-50</v>
      </c>
      <c r="E200" t="s">
        <v>16</v>
      </c>
      <c r="F200" t="s">
        <v>49</v>
      </c>
      <c r="G200" t="s">
        <v>33</v>
      </c>
      <c r="H200">
        <v>26</v>
      </c>
      <c r="I200">
        <v>1653</v>
      </c>
      <c r="J200" t="s">
        <v>19</v>
      </c>
      <c r="K200">
        <v>4</v>
      </c>
    </row>
    <row r="201" spans="1:11" x14ac:dyDescent="0.25">
      <c r="A201">
        <v>1082</v>
      </c>
      <c r="B201" t="s">
        <v>24</v>
      </c>
      <c r="C201">
        <v>42</v>
      </c>
      <c r="D201" t="str">
        <f t="shared" si="3"/>
        <v>41-50</v>
      </c>
      <c r="E201" t="s">
        <v>11</v>
      </c>
      <c r="F201" t="s">
        <v>32</v>
      </c>
      <c r="G201" t="s">
        <v>41</v>
      </c>
      <c r="H201">
        <v>16</v>
      </c>
      <c r="I201">
        <v>1202</v>
      </c>
      <c r="J201" t="s">
        <v>14</v>
      </c>
      <c r="K201">
        <v>10</v>
      </c>
    </row>
    <row r="202" spans="1:11" x14ac:dyDescent="0.25">
      <c r="A202">
        <v>1084</v>
      </c>
      <c r="B202" t="s">
        <v>10</v>
      </c>
      <c r="C202">
        <v>49</v>
      </c>
      <c r="D202" t="str">
        <f t="shared" si="3"/>
        <v>41-50</v>
      </c>
      <c r="E202" t="s">
        <v>16</v>
      </c>
      <c r="F202" t="s">
        <v>35</v>
      </c>
      <c r="G202" t="s">
        <v>33</v>
      </c>
      <c r="H202">
        <v>13</v>
      </c>
      <c r="I202">
        <v>1019</v>
      </c>
      <c r="J202" t="s">
        <v>43</v>
      </c>
      <c r="K202">
        <v>1</v>
      </c>
    </row>
    <row r="203" spans="1:11" x14ac:dyDescent="0.25">
      <c r="A203">
        <v>1088</v>
      </c>
      <c r="B203" t="s">
        <v>34</v>
      </c>
      <c r="C203">
        <v>48</v>
      </c>
      <c r="D203" t="str">
        <f t="shared" si="3"/>
        <v>41-50</v>
      </c>
      <c r="E203" t="s">
        <v>11</v>
      </c>
      <c r="F203" t="s">
        <v>32</v>
      </c>
      <c r="G203" t="s">
        <v>22</v>
      </c>
      <c r="H203">
        <v>23</v>
      </c>
      <c r="I203">
        <v>2842</v>
      </c>
      <c r="J203" t="s">
        <v>43</v>
      </c>
      <c r="K203">
        <v>10</v>
      </c>
    </row>
    <row r="204" spans="1:11" x14ac:dyDescent="0.25">
      <c r="A204">
        <v>1089</v>
      </c>
      <c r="B204" t="s">
        <v>48</v>
      </c>
      <c r="C204">
        <v>47</v>
      </c>
      <c r="D204" t="str">
        <f t="shared" si="3"/>
        <v>41-50</v>
      </c>
      <c r="E204" t="s">
        <v>11</v>
      </c>
      <c r="F204" t="s">
        <v>17</v>
      </c>
      <c r="G204" t="s">
        <v>29</v>
      </c>
      <c r="H204">
        <v>21</v>
      </c>
      <c r="I204">
        <v>2197</v>
      </c>
      <c r="J204" t="s">
        <v>30</v>
      </c>
      <c r="K204">
        <v>6</v>
      </c>
    </row>
    <row r="205" spans="1:11" x14ac:dyDescent="0.25">
      <c r="A205">
        <v>1092</v>
      </c>
      <c r="B205" t="s">
        <v>52</v>
      </c>
      <c r="C205">
        <v>43</v>
      </c>
      <c r="D205" t="str">
        <f t="shared" si="3"/>
        <v>41-50</v>
      </c>
      <c r="E205" t="s">
        <v>16</v>
      </c>
      <c r="F205" t="s">
        <v>27</v>
      </c>
      <c r="G205" t="s">
        <v>29</v>
      </c>
      <c r="H205">
        <v>5</v>
      </c>
      <c r="I205">
        <v>1840</v>
      </c>
      <c r="J205" t="s">
        <v>30</v>
      </c>
      <c r="K205">
        <v>2</v>
      </c>
    </row>
    <row r="206" spans="1:11" x14ac:dyDescent="0.25">
      <c r="A206">
        <v>1096</v>
      </c>
      <c r="B206" t="s">
        <v>52</v>
      </c>
      <c r="C206">
        <v>44</v>
      </c>
      <c r="D206" t="str">
        <f t="shared" si="3"/>
        <v>41-50</v>
      </c>
      <c r="E206" t="s">
        <v>16</v>
      </c>
      <c r="F206" t="s">
        <v>25</v>
      </c>
      <c r="G206" t="s">
        <v>38</v>
      </c>
      <c r="H206">
        <v>30</v>
      </c>
      <c r="I206">
        <v>972</v>
      </c>
      <c r="J206" t="s">
        <v>19</v>
      </c>
      <c r="K206">
        <v>3</v>
      </c>
    </row>
    <row r="207" spans="1:11" x14ac:dyDescent="0.25">
      <c r="A207">
        <v>1103</v>
      </c>
      <c r="B207" t="s">
        <v>26</v>
      </c>
      <c r="C207">
        <v>47</v>
      </c>
      <c r="D207" t="str">
        <f t="shared" si="3"/>
        <v>41-50</v>
      </c>
      <c r="E207" t="s">
        <v>11</v>
      </c>
      <c r="F207" t="s">
        <v>12</v>
      </c>
      <c r="G207" t="s">
        <v>38</v>
      </c>
      <c r="H207">
        <v>29</v>
      </c>
      <c r="I207">
        <v>1349</v>
      </c>
      <c r="J207" t="s">
        <v>19</v>
      </c>
      <c r="K207">
        <v>7</v>
      </c>
    </row>
    <row r="208" spans="1:11" x14ac:dyDescent="0.25">
      <c r="A208">
        <v>1113</v>
      </c>
      <c r="B208" t="s">
        <v>31</v>
      </c>
      <c r="C208">
        <v>47</v>
      </c>
      <c r="D208" t="str">
        <f t="shared" si="3"/>
        <v>41-50</v>
      </c>
      <c r="E208" t="s">
        <v>11</v>
      </c>
      <c r="F208" t="s">
        <v>49</v>
      </c>
      <c r="G208" t="s">
        <v>41</v>
      </c>
      <c r="H208">
        <v>28</v>
      </c>
      <c r="I208">
        <v>1242</v>
      </c>
      <c r="J208" t="s">
        <v>36</v>
      </c>
      <c r="K208">
        <v>7</v>
      </c>
    </row>
    <row r="209" spans="1:11" x14ac:dyDescent="0.25">
      <c r="A209">
        <v>1114</v>
      </c>
      <c r="B209" t="s">
        <v>47</v>
      </c>
      <c r="C209">
        <v>41</v>
      </c>
      <c r="D209" t="str">
        <f t="shared" si="3"/>
        <v>41-50</v>
      </c>
      <c r="E209" t="s">
        <v>16</v>
      </c>
      <c r="F209" t="s">
        <v>25</v>
      </c>
      <c r="G209" t="s">
        <v>29</v>
      </c>
      <c r="H209">
        <v>19</v>
      </c>
      <c r="I209">
        <v>1705</v>
      </c>
      <c r="J209" t="s">
        <v>19</v>
      </c>
      <c r="K209">
        <v>8</v>
      </c>
    </row>
    <row r="210" spans="1:11" x14ac:dyDescent="0.25">
      <c r="A210">
        <v>1115</v>
      </c>
      <c r="B210" t="s">
        <v>40</v>
      </c>
      <c r="C210">
        <v>43</v>
      </c>
      <c r="D210" t="str">
        <f t="shared" si="3"/>
        <v>41-50</v>
      </c>
      <c r="E210" t="s">
        <v>16</v>
      </c>
      <c r="F210" t="s">
        <v>12</v>
      </c>
      <c r="G210" t="s">
        <v>38</v>
      </c>
      <c r="H210">
        <v>9</v>
      </c>
      <c r="I210">
        <v>2611</v>
      </c>
      <c r="J210" t="s">
        <v>30</v>
      </c>
      <c r="K210">
        <v>9</v>
      </c>
    </row>
    <row r="211" spans="1:11" x14ac:dyDescent="0.25">
      <c r="A211">
        <v>1117</v>
      </c>
      <c r="B211" t="s">
        <v>31</v>
      </c>
      <c r="C211">
        <v>46</v>
      </c>
      <c r="D211" t="str">
        <f t="shared" si="3"/>
        <v>41-50</v>
      </c>
      <c r="E211" t="s">
        <v>11</v>
      </c>
      <c r="F211" t="s">
        <v>27</v>
      </c>
      <c r="G211" t="s">
        <v>33</v>
      </c>
      <c r="H211">
        <v>28</v>
      </c>
      <c r="I211">
        <v>1940</v>
      </c>
      <c r="J211" t="s">
        <v>30</v>
      </c>
      <c r="K211">
        <v>0</v>
      </c>
    </row>
    <row r="212" spans="1:11" x14ac:dyDescent="0.25">
      <c r="A212">
        <v>1120</v>
      </c>
      <c r="B212" t="s">
        <v>24</v>
      </c>
      <c r="C212">
        <v>47</v>
      </c>
      <c r="D212" t="str">
        <f t="shared" si="3"/>
        <v>41-50</v>
      </c>
      <c r="E212" t="s">
        <v>11</v>
      </c>
      <c r="F212" t="s">
        <v>12</v>
      </c>
      <c r="G212" t="s">
        <v>18</v>
      </c>
      <c r="H212">
        <v>26</v>
      </c>
      <c r="I212">
        <v>2289</v>
      </c>
      <c r="J212" t="s">
        <v>19</v>
      </c>
      <c r="K212">
        <v>10</v>
      </c>
    </row>
    <row r="213" spans="1:11" x14ac:dyDescent="0.25">
      <c r="A213">
        <v>1122</v>
      </c>
      <c r="B213" t="s">
        <v>26</v>
      </c>
      <c r="C213">
        <v>43</v>
      </c>
      <c r="D213" t="str">
        <f t="shared" si="3"/>
        <v>41-50</v>
      </c>
      <c r="E213" t="s">
        <v>16</v>
      </c>
      <c r="F213" t="s">
        <v>32</v>
      </c>
      <c r="G213" t="s">
        <v>29</v>
      </c>
      <c r="H213">
        <v>25</v>
      </c>
      <c r="I213">
        <v>2312</v>
      </c>
      <c r="J213" t="s">
        <v>14</v>
      </c>
      <c r="K213">
        <v>1</v>
      </c>
    </row>
    <row r="214" spans="1:11" x14ac:dyDescent="0.25">
      <c r="A214">
        <v>1123</v>
      </c>
      <c r="B214" t="s">
        <v>51</v>
      </c>
      <c r="C214">
        <v>43</v>
      </c>
      <c r="D214" t="str">
        <f t="shared" si="3"/>
        <v>41-50</v>
      </c>
      <c r="E214" t="s">
        <v>16</v>
      </c>
      <c r="F214" t="s">
        <v>12</v>
      </c>
      <c r="G214" t="s">
        <v>22</v>
      </c>
      <c r="H214">
        <v>13</v>
      </c>
      <c r="I214">
        <v>894</v>
      </c>
      <c r="J214" t="s">
        <v>36</v>
      </c>
      <c r="K214">
        <v>7</v>
      </c>
    </row>
    <row r="215" spans="1:11" x14ac:dyDescent="0.25">
      <c r="A215">
        <v>1127</v>
      </c>
      <c r="B215" t="s">
        <v>39</v>
      </c>
      <c r="C215">
        <v>48</v>
      </c>
      <c r="D215" t="str">
        <f t="shared" si="3"/>
        <v>41-50</v>
      </c>
      <c r="E215" t="s">
        <v>11</v>
      </c>
      <c r="F215" t="s">
        <v>21</v>
      </c>
      <c r="G215" t="s">
        <v>13</v>
      </c>
      <c r="H215">
        <v>28</v>
      </c>
      <c r="I215">
        <v>2552</v>
      </c>
      <c r="J215" t="s">
        <v>43</v>
      </c>
      <c r="K215">
        <v>1</v>
      </c>
    </row>
    <row r="216" spans="1:11" x14ac:dyDescent="0.25">
      <c r="A216">
        <v>1128</v>
      </c>
      <c r="B216" t="s">
        <v>31</v>
      </c>
      <c r="C216">
        <v>41</v>
      </c>
      <c r="D216" t="str">
        <f t="shared" si="3"/>
        <v>41-50</v>
      </c>
      <c r="E216" t="s">
        <v>16</v>
      </c>
      <c r="F216" t="s">
        <v>35</v>
      </c>
      <c r="G216" t="s">
        <v>33</v>
      </c>
      <c r="H216">
        <v>29</v>
      </c>
      <c r="I216">
        <v>840</v>
      </c>
      <c r="J216" t="s">
        <v>14</v>
      </c>
      <c r="K216">
        <v>9</v>
      </c>
    </row>
    <row r="217" spans="1:11" x14ac:dyDescent="0.25">
      <c r="A217">
        <v>1131</v>
      </c>
      <c r="B217" t="s">
        <v>51</v>
      </c>
      <c r="C217">
        <v>42</v>
      </c>
      <c r="D217" t="str">
        <f t="shared" si="3"/>
        <v>41-50</v>
      </c>
      <c r="E217" t="s">
        <v>16</v>
      </c>
      <c r="F217" t="s">
        <v>12</v>
      </c>
      <c r="G217" t="s">
        <v>38</v>
      </c>
      <c r="H217">
        <v>21</v>
      </c>
      <c r="I217">
        <v>2642</v>
      </c>
      <c r="J217" t="s">
        <v>43</v>
      </c>
      <c r="K217">
        <v>7</v>
      </c>
    </row>
    <row r="218" spans="1:11" x14ac:dyDescent="0.25">
      <c r="A218">
        <v>1133</v>
      </c>
      <c r="B218" t="s">
        <v>31</v>
      </c>
      <c r="C218">
        <v>44</v>
      </c>
      <c r="D218" t="str">
        <f t="shared" si="3"/>
        <v>41-50</v>
      </c>
      <c r="E218" t="s">
        <v>16</v>
      </c>
      <c r="F218" t="s">
        <v>25</v>
      </c>
      <c r="G218" t="s">
        <v>38</v>
      </c>
      <c r="H218">
        <v>7</v>
      </c>
      <c r="I218">
        <v>725</v>
      </c>
      <c r="J218" t="s">
        <v>23</v>
      </c>
      <c r="K218">
        <v>8</v>
      </c>
    </row>
    <row r="219" spans="1:11" x14ac:dyDescent="0.25">
      <c r="A219">
        <v>1135</v>
      </c>
      <c r="B219" t="s">
        <v>47</v>
      </c>
      <c r="C219">
        <v>41</v>
      </c>
      <c r="D219" t="str">
        <f t="shared" si="3"/>
        <v>41-50</v>
      </c>
      <c r="E219" t="s">
        <v>11</v>
      </c>
      <c r="F219" t="s">
        <v>21</v>
      </c>
      <c r="G219" t="s">
        <v>41</v>
      </c>
      <c r="H219">
        <v>21</v>
      </c>
      <c r="I219">
        <v>2833</v>
      </c>
      <c r="J219" t="s">
        <v>19</v>
      </c>
      <c r="K219">
        <v>9</v>
      </c>
    </row>
    <row r="220" spans="1:11" x14ac:dyDescent="0.25">
      <c r="A220">
        <v>1136</v>
      </c>
      <c r="B220" t="s">
        <v>15</v>
      </c>
      <c r="C220">
        <v>44</v>
      </c>
      <c r="D220" t="str">
        <f t="shared" si="3"/>
        <v>41-50</v>
      </c>
      <c r="E220" t="s">
        <v>11</v>
      </c>
      <c r="F220" t="s">
        <v>27</v>
      </c>
      <c r="G220" t="s">
        <v>41</v>
      </c>
      <c r="H220">
        <v>7</v>
      </c>
      <c r="I220">
        <v>896</v>
      </c>
      <c r="J220" t="s">
        <v>14</v>
      </c>
      <c r="K220">
        <v>2</v>
      </c>
    </row>
    <row r="221" spans="1:11" x14ac:dyDescent="0.25">
      <c r="A221">
        <v>1139</v>
      </c>
      <c r="B221" t="s">
        <v>26</v>
      </c>
      <c r="C221">
        <v>45</v>
      </c>
      <c r="D221" t="str">
        <f t="shared" si="3"/>
        <v>41-50</v>
      </c>
      <c r="E221" t="s">
        <v>11</v>
      </c>
      <c r="F221" t="s">
        <v>49</v>
      </c>
      <c r="G221" t="s">
        <v>13</v>
      </c>
      <c r="H221">
        <v>29</v>
      </c>
      <c r="I221">
        <v>2742</v>
      </c>
      <c r="J221" t="s">
        <v>23</v>
      </c>
      <c r="K221">
        <v>9</v>
      </c>
    </row>
    <row r="222" spans="1:11" x14ac:dyDescent="0.25">
      <c r="A222">
        <v>1149</v>
      </c>
      <c r="B222" t="s">
        <v>52</v>
      </c>
      <c r="C222">
        <v>42</v>
      </c>
      <c r="D222" t="str">
        <f t="shared" si="3"/>
        <v>41-50</v>
      </c>
      <c r="E222" t="s">
        <v>11</v>
      </c>
      <c r="F222" t="s">
        <v>17</v>
      </c>
      <c r="G222" t="s">
        <v>18</v>
      </c>
      <c r="H222">
        <v>27</v>
      </c>
      <c r="I222">
        <v>2247</v>
      </c>
      <c r="J222" t="s">
        <v>23</v>
      </c>
      <c r="K222">
        <v>3</v>
      </c>
    </row>
    <row r="223" spans="1:11" x14ac:dyDescent="0.25">
      <c r="A223">
        <v>1153</v>
      </c>
      <c r="B223" t="s">
        <v>48</v>
      </c>
      <c r="C223">
        <v>46</v>
      </c>
      <c r="D223" t="str">
        <f t="shared" si="3"/>
        <v>41-50</v>
      </c>
      <c r="E223" t="s">
        <v>11</v>
      </c>
      <c r="F223" t="s">
        <v>12</v>
      </c>
      <c r="G223" t="s">
        <v>13</v>
      </c>
      <c r="H223">
        <v>24</v>
      </c>
      <c r="I223">
        <v>1401</v>
      </c>
      <c r="J223" t="s">
        <v>43</v>
      </c>
      <c r="K223">
        <v>8</v>
      </c>
    </row>
    <row r="224" spans="1:11" x14ac:dyDescent="0.25">
      <c r="A224">
        <v>1155</v>
      </c>
      <c r="B224" t="s">
        <v>52</v>
      </c>
      <c r="C224">
        <v>41</v>
      </c>
      <c r="D224" t="str">
        <f t="shared" si="3"/>
        <v>41-50</v>
      </c>
      <c r="E224" t="s">
        <v>11</v>
      </c>
      <c r="F224" t="s">
        <v>27</v>
      </c>
      <c r="G224" t="s">
        <v>29</v>
      </c>
      <c r="H224">
        <v>13</v>
      </c>
      <c r="I224">
        <v>2599</v>
      </c>
      <c r="J224" t="s">
        <v>36</v>
      </c>
      <c r="K224">
        <v>6</v>
      </c>
    </row>
    <row r="225" spans="1:11" x14ac:dyDescent="0.25">
      <c r="A225">
        <v>1159</v>
      </c>
      <c r="B225" t="s">
        <v>28</v>
      </c>
      <c r="C225">
        <v>41</v>
      </c>
      <c r="D225" t="str">
        <f t="shared" si="3"/>
        <v>41-50</v>
      </c>
      <c r="E225" t="s">
        <v>11</v>
      </c>
      <c r="F225" t="s">
        <v>25</v>
      </c>
      <c r="G225" t="s">
        <v>41</v>
      </c>
      <c r="H225">
        <v>22</v>
      </c>
      <c r="I225">
        <v>1483</v>
      </c>
      <c r="J225" t="s">
        <v>30</v>
      </c>
      <c r="K225">
        <v>5</v>
      </c>
    </row>
    <row r="226" spans="1:11" x14ac:dyDescent="0.25">
      <c r="A226">
        <v>1160</v>
      </c>
      <c r="B226" t="s">
        <v>39</v>
      </c>
      <c r="C226">
        <v>43</v>
      </c>
      <c r="D226" t="str">
        <f t="shared" si="3"/>
        <v>41-50</v>
      </c>
      <c r="E226" t="s">
        <v>16</v>
      </c>
      <c r="F226" t="s">
        <v>32</v>
      </c>
      <c r="G226" t="s">
        <v>29</v>
      </c>
      <c r="H226">
        <v>11</v>
      </c>
      <c r="I226">
        <v>1090</v>
      </c>
      <c r="J226" t="s">
        <v>23</v>
      </c>
      <c r="K226">
        <v>0</v>
      </c>
    </row>
    <row r="227" spans="1:11" x14ac:dyDescent="0.25">
      <c r="A227">
        <v>1164</v>
      </c>
      <c r="B227" t="s">
        <v>39</v>
      </c>
      <c r="C227">
        <v>42</v>
      </c>
      <c r="D227" t="str">
        <f t="shared" si="3"/>
        <v>41-50</v>
      </c>
      <c r="E227" t="s">
        <v>16</v>
      </c>
      <c r="F227" t="s">
        <v>21</v>
      </c>
      <c r="G227" t="s">
        <v>41</v>
      </c>
      <c r="H227">
        <v>28</v>
      </c>
      <c r="I227">
        <v>1174</v>
      </c>
      <c r="J227" t="s">
        <v>19</v>
      </c>
      <c r="K227">
        <v>10</v>
      </c>
    </row>
    <row r="228" spans="1:11" x14ac:dyDescent="0.25">
      <c r="A228">
        <v>1166</v>
      </c>
      <c r="B228" t="s">
        <v>34</v>
      </c>
      <c r="C228">
        <v>42</v>
      </c>
      <c r="D228" t="str">
        <f t="shared" si="3"/>
        <v>41-50</v>
      </c>
      <c r="E228" t="s">
        <v>11</v>
      </c>
      <c r="F228" t="s">
        <v>21</v>
      </c>
      <c r="G228" t="s">
        <v>33</v>
      </c>
      <c r="H228">
        <v>13</v>
      </c>
      <c r="I228">
        <v>2553</v>
      </c>
      <c r="J228" t="s">
        <v>30</v>
      </c>
      <c r="K228">
        <v>9</v>
      </c>
    </row>
    <row r="229" spans="1:11" x14ac:dyDescent="0.25">
      <c r="A229">
        <v>1169</v>
      </c>
      <c r="B229" t="s">
        <v>46</v>
      </c>
      <c r="C229">
        <v>44</v>
      </c>
      <c r="D229" t="str">
        <f t="shared" si="3"/>
        <v>41-50</v>
      </c>
      <c r="E229" t="s">
        <v>16</v>
      </c>
      <c r="F229" t="s">
        <v>12</v>
      </c>
      <c r="G229" t="s">
        <v>18</v>
      </c>
      <c r="H229">
        <v>16</v>
      </c>
      <c r="I229">
        <v>2563</v>
      </c>
      <c r="J229" t="s">
        <v>14</v>
      </c>
      <c r="K229">
        <v>10</v>
      </c>
    </row>
    <row r="230" spans="1:11" x14ac:dyDescent="0.25">
      <c r="A230">
        <v>1171</v>
      </c>
      <c r="B230" t="s">
        <v>48</v>
      </c>
      <c r="C230">
        <v>49</v>
      </c>
      <c r="D230" t="str">
        <f t="shared" si="3"/>
        <v>41-50</v>
      </c>
      <c r="E230" t="s">
        <v>16</v>
      </c>
      <c r="F230" t="s">
        <v>21</v>
      </c>
      <c r="G230" t="s">
        <v>29</v>
      </c>
      <c r="H230">
        <v>14</v>
      </c>
      <c r="I230">
        <v>675</v>
      </c>
      <c r="J230" t="s">
        <v>23</v>
      </c>
      <c r="K230">
        <v>2</v>
      </c>
    </row>
    <row r="231" spans="1:11" x14ac:dyDescent="0.25">
      <c r="A231">
        <v>1172</v>
      </c>
      <c r="B231" t="s">
        <v>52</v>
      </c>
      <c r="C231">
        <v>50</v>
      </c>
      <c r="D231" t="str">
        <f t="shared" si="3"/>
        <v>41-50</v>
      </c>
      <c r="E231" t="s">
        <v>16</v>
      </c>
      <c r="F231" t="s">
        <v>32</v>
      </c>
      <c r="G231" t="s">
        <v>22</v>
      </c>
      <c r="H231">
        <v>17</v>
      </c>
      <c r="I231">
        <v>957</v>
      </c>
      <c r="J231" t="s">
        <v>19</v>
      </c>
      <c r="K231">
        <v>8</v>
      </c>
    </row>
    <row r="232" spans="1:11" x14ac:dyDescent="0.25">
      <c r="A232">
        <v>1180</v>
      </c>
      <c r="B232" t="s">
        <v>45</v>
      </c>
      <c r="C232">
        <v>46</v>
      </c>
      <c r="D232" t="str">
        <f t="shared" si="3"/>
        <v>41-50</v>
      </c>
      <c r="E232" t="s">
        <v>16</v>
      </c>
      <c r="F232" t="s">
        <v>17</v>
      </c>
      <c r="G232" t="s">
        <v>41</v>
      </c>
      <c r="H232">
        <v>23</v>
      </c>
      <c r="I232">
        <v>1884</v>
      </c>
      <c r="J232" t="s">
        <v>14</v>
      </c>
      <c r="K232">
        <v>7</v>
      </c>
    </row>
    <row r="233" spans="1:11" x14ac:dyDescent="0.25">
      <c r="A233">
        <v>1183</v>
      </c>
      <c r="B233" t="s">
        <v>42</v>
      </c>
      <c r="C233">
        <v>42</v>
      </c>
      <c r="D233" t="str">
        <f t="shared" si="3"/>
        <v>41-50</v>
      </c>
      <c r="E233" t="s">
        <v>11</v>
      </c>
      <c r="F233" t="s">
        <v>25</v>
      </c>
      <c r="G233" t="s">
        <v>38</v>
      </c>
      <c r="H233">
        <v>18</v>
      </c>
      <c r="I233">
        <v>2304</v>
      </c>
      <c r="J233" t="s">
        <v>19</v>
      </c>
      <c r="K233">
        <v>1</v>
      </c>
    </row>
    <row r="234" spans="1:11" x14ac:dyDescent="0.25">
      <c r="A234">
        <v>1187</v>
      </c>
      <c r="B234" t="s">
        <v>42</v>
      </c>
      <c r="C234">
        <v>47</v>
      </c>
      <c r="D234" t="str">
        <f t="shared" si="3"/>
        <v>41-50</v>
      </c>
      <c r="E234" t="s">
        <v>11</v>
      </c>
      <c r="F234" t="s">
        <v>25</v>
      </c>
      <c r="G234" t="s">
        <v>22</v>
      </c>
      <c r="H234">
        <v>7</v>
      </c>
      <c r="I234">
        <v>1016</v>
      </c>
      <c r="J234" t="s">
        <v>43</v>
      </c>
      <c r="K234">
        <v>6</v>
      </c>
    </row>
    <row r="235" spans="1:11" x14ac:dyDescent="0.25">
      <c r="A235">
        <v>1188</v>
      </c>
      <c r="B235" t="s">
        <v>46</v>
      </c>
      <c r="C235">
        <v>50</v>
      </c>
      <c r="D235" t="str">
        <f t="shared" si="3"/>
        <v>41-50</v>
      </c>
      <c r="E235" t="s">
        <v>11</v>
      </c>
      <c r="F235" t="s">
        <v>35</v>
      </c>
      <c r="G235" t="s">
        <v>38</v>
      </c>
      <c r="H235">
        <v>20</v>
      </c>
      <c r="I235">
        <v>1042</v>
      </c>
      <c r="J235" t="s">
        <v>36</v>
      </c>
      <c r="K235">
        <v>1</v>
      </c>
    </row>
    <row r="236" spans="1:11" x14ac:dyDescent="0.25">
      <c r="A236">
        <v>1191</v>
      </c>
      <c r="B236" t="s">
        <v>26</v>
      </c>
      <c r="C236">
        <v>46</v>
      </c>
      <c r="D236" t="str">
        <f t="shared" si="3"/>
        <v>41-50</v>
      </c>
      <c r="E236" t="s">
        <v>16</v>
      </c>
      <c r="F236" t="s">
        <v>21</v>
      </c>
      <c r="G236" t="s">
        <v>38</v>
      </c>
      <c r="H236">
        <v>18</v>
      </c>
      <c r="I236">
        <v>1644</v>
      </c>
      <c r="J236" t="s">
        <v>19</v>
      </c>
      <c r="K236">
        <v>10</v>
      </c>
    </row>
    <row r="237" spans="1:11" x14ac:dyDescent="0.25">
      <c r="A237">
        <v>1194</v>
      </c>
      <c r="B237" t="s">
        <v>50</v>
      </c>
      <c r="C237">
        <v>45</v>
      </c>
      <c r="D237" t="str">
        <f t="shared" si="3"/>
        <v>41-50</v>
      </c>
      <c r="E237" t="s">
        <v>11</v>
      </c>
      <c r="F237" t="s">
        <v>27</v>
      </c>
      <c r="G237" t="s">
        <v>33</v>
      </c>
      <c r="H237">
        <v>9</v>
      </c>
      <c r="I237">
        <v>2496</v>
      </c>
      <c r="J237" t="s">
        <v>14</v>
      </c>
      <c r="K237">
        <v>9</v>
      </c>
    </row>
    <row r="238" spans="1:11" x14ac:dyDescent="0.25">
      <c r="A238">
        <v>1204</v>
      </c>
      <c r="B238" t="s">
        <v>44</v>
      </c>
      <c r="C238">
        <v>46</v>
      </c>
      <c r="D238" t="str">
        <f t="shared" si="3"/>
        <v>41-50</v>
      </c>
      <c r="E238" t="s">
        <v>16</v>
      </c>
      <c r="F238" t="s">
        <v>21</v>
      </c>
      <c r="G238" t="s">
        <v>33</v>
      </c>
      <c r="H238">
        <v>12</v>
      </c>
      <c r="I238">
        <v>1990</v>
      </c>
      <c r="J238" t="s">
        <v>23</v>
      </c>
      <c r="K238">
        <v>9</v>
      </c>
    </row>
    <row r="239" spans="1:11" x14ac:dyDescent="0.25">
      <c r="A239">
        <v>1207</v>
      </c>
      <c r="B239" t="s">
        <v>45</v>
      </c>
      <c r="C239">
        <v>43</v>
      </c>
      <c r="D239" t="str">
        <f t="shared" si="3"/>
        <v>41-50</v>
      </c>
      <c r="E239" t="s">
        <v>11</v>
      </c>
      <c r="F239" t="s">
        <v>32</v>
      </c>
      <c r="G239" t="s">
        <v>29</v>
      </c>
      <c r="H239">
        <v>5</v>
      </c>
      <c r="I239">
        <v>806</v>
      </c>
      <c r="J239" t="s">
        <v>14</v>
      </c>
      <c r="K239">
        <v>0</v>
      </c>
    </row>
    <row r="240" spans="1:11" x14ac:dyDescent="0.25">
      <c r="A240">
        <v>1209</v>
      </c>
      <c r="B240" t="s">
        <v>51</v>
      </c>
      <c r="C240">
        <v>47</v>
      </c>
      <c r="D240" t="str">
        <f t="shared" si="3"/>
        <v>41-50</v>
      </c>
      <c r="E240" t="s">
        <v>16</v>
      </c>
      <c r="F240" t="s">
        <v>12</v>
      </c>
      <c r="G240" t="s">
        <v>38</v>
      </c>
      <c r="H240">
        <v>14</v>
      </c>
      <c r="I240">
        <v>688</v>
      </c>
      <c r="J240" t="s">
        <v>36</v>
      </c>
      <c r="K240">
        <v>8</v>
      </c>
    </row>
    <row r="241" spans="1:11" x14ac:dyDescent="0.25">
      <c r="A241">
        <v>1215</v>
      </c>
      <c r="B241" t="s">
        <v>51</v>
      </c>
      <c r="C241">
        <v>47</v>
      </c>
      <c r="D241" t="str">
        <f t="shared" si="3"/>
        <v>41-50</v>
      </c>
      <c r="E241" t="s">
        <v>11</v>
      </c>
      <c r="F241" t="s">
        <v>27</v>
      </c>
      <c r="G241" t="s">
        <v>38</v>
      </c>
      <c r="H241">
        <v>9</v>
      </c>
      <c r="I241">
        <v>2778</v>
      </c>
      <c r="J241" t="s">
        <v>23</v>
      </c>
      <c r="K241">
        <v>1</v>
      </c>
    </row>
    <row r="242" spans="1:11" x14ac:dyDescent="0.25">
      <c r="A242">
        <v>1223</v>
      </c>
      <c r="B242" t="s">
        <v>40</v>
      </c>
      <c r="C242">
        <v>49</v>
      </c>
      <c r="D242" t="str">
        <f t="shared" si="3"/>
        <v>41-50</v>
      </c>
      <c r="E242" t="s">
        <v>11</v>
      </c>
      <c r="F242" t="s">
        <v>12</v>
      </c>
      <c r="G242" t="s">
        <v>33</v>
      </c>
      <c r="H242">
        <v>17</v>
      </c>
      <c r="I242">
        <v>2166</v>
      </c>
      <c r="J242" t="s">
        <v>43</v>
      </c>
      <c r="K242">
        <v>9</v>
      </c>
    </row>
    <row r="243" spans="1:11" x14ac:dyDescent="0.25">
      <c r="A243">
        <v>1226</v>
      </c>
      <c r="B243" t="s">
        <v>28</v>
      </c>
      <c r="C243">
        <v>42</v>
      </c>
      <c r="D243" t="str">
        <f t="shared" si="3"/>
        <v>41-50</v>
      </c>
      <c r="E243" t="s">
        <v>11</v>
      </c>
      <c r="F243" t="s">
        <v>17</v>
      </c>
      <c r="G243" t="s">
        <v>38</v>
      </c>
      <c r="H243">
        <v>16</v>
      </c>
      <c r="I243">
        <v>2614</v>
      </c>
      <c r="J243" t="s">
        <v>43</v>
      </c>
      <c r="K243">
        <v>5</v>
      </c>
    </row>
    <row r="244" spans="1:11" x14ac:dyDescent="0.25">
      <c r="A244">
        <v>1227</v>
      </c>
      <c r="B244" t="s">
        <v>37</v>
      </c>
      <c r="C244">
        <v>44</v>
      </c>
      <c r="D244" t="str">
        <f t="shared" si="3"/>
        <v>41-50</v>
      </c>
      <c r="E244" t="s">
        <v>11</v>
      </c>
      <c r="F244" t="s">
        <v>32</v>
      </c>
      <c r="G244" t="s">
        <v>22</v>
      </c>
      <c r="H244">
        <v>8</v>
      </c>
      <c r="I244">
        <v>1926</v>
      </c>
      <c r="J244" t="s">
        <v>30</v>
      </c>
      <c r="K244">
        <v>8</v>
      </c>
    </row>
    <row r="245" spans="1:11" x14ac:dyDescent="0.25">
      <c r="A245">
        <v>1229</v>
      </c>
      <c r="B245" t="s">
        <v>50</v>
      </c>
      <c r="C245">
        <v>45</v>
      </c>
      <c r="D245" t="str">
        <f t="shared" si="3"/>
        <v>41-50</v>
      </c>
      <c r="E245" t="s">
        <v>16</v>
      </c>
      <c r="F245" t="s">
        <v>12</v>
      </c>
      <c r="G245" t="s">
        <v>33</v>
      </c>
      <c r="H245">
        <v>26</v>
      </c>
      <c r="I245">
        <v>2600</v>
      </c>
      <c r="J245" t="s">
        <v>43</v>
      </c>
      <c r="K245">
        <v>10</v>
      </c>
    </row>
    <row r="246" spans="1:11" x14ac:dyDescent="0.25">
      <c r="A246">
        <v>1232</v>
      </c>
      <c r="B246" t="s">
        <v>51</v>
      </c>
      <c r="C246">
        <v>41</v>
      </c>
      <c r="D246" t="str">
        <f t="shared" si="3"/>
        <v>41-50</v>
      </c>
      <c r="E246" t="s">
        <v>11</v>
      </c>
      <c r="F246" t="s">
        <v>25</v>
      </c>
      <c r="G246" t="s">
        <v>18</v>
      </c>
      <c r="H246">
        <v>24</v>
      </c>
      <c r="I246">
        <v>1931</v>
      </c>
      <c r="J246" t="s">
        <v>14</v>
      </c>
      <c r="K246">
        <v>3</v>
      </c>
    </row>
    <row r="247" spans="1:11" x14ac:dyDescent="0.25">
      <c r="A247">
        <v>1234</v>
      </c>
      <c r="B247" t="s">
        <v>26</v>
      </c>
      <c r="C247">
        <v>42</v>
      </c>
      <c r="D247" t="str">
        <f t="shared" si="3"/>
        <v>41-50</v>
      </c>
      <c r="E247" t="s">
        <v>16</v>
      </c>
      <c r="F247" t="s">
        <v>35</v>
      </c>
      <c r="G247" t="s">
        <v>18</v>
      </c>
      <c r="H247">
        <v>13</v>
      </c>
      <c r="I247">
        <v>1914</v>
      </c>
      <c r="J247" t="s">
        <v>19</v>
      </c>
      <c r="K247">
        <v>8</v>
      </c>
    </row>
    <row r="248" spans="1:11" x14ac:dyDescent="0.25">
      <c r="A248">
        <v>1238</v>
      </c>
      <c r="B248" t="s">
        <v>52</v>
      </c>
      <c r="C248">
        <v>43</v>
      </c>
      <c r="D248" t="str">
        <f t="shared" si="3"/>
        <v>41-50</v>
      </c>
      <c r="E248" t="s">
        <v>11</v>
      </c>
      <c r="F248" t="s">
        <v>49</v>
      </c>
      <c r="G248" t="s">
        <v>22</v>
      </c>
      <c r="H248">
        <v>14</v>
      </c>
      <c r="I248">
        <v>2365</v>
      </c>
      <c r="J248" t="s">
        <v>30</v>
      </c>
      <c r="K248">
        <v>8</v>
      </c>
    </row>
    <row r="249" spans="1:11" x14ac:dyDescent="0.25">
      <c r="A249">
        <v>1245</v>
      </c>
      <c r="B249" t="s">
        <v>48</v>
      </c>
      <c r="C249">
        <v>43</v>
      </c>
      <c r="D249" t="str">
        <f t="shared" si="3"/>
        <v>41-50</v>
      </c>
      <c r="E249" t="s">
        <v>11</v>
      </c>
      <c r="F249" t="s">
        <v>17</v>
      </c>
      <c r="G249" t="s">
        <v>41</v>
      </c>
      <c r="H249">
        <v>9</v>
      </c>
      <c r="I249">
        <v>1832</v>
      </c>
      <c r="J249" t="s">
        <v>19</v>
      </c>
      <c r="K249">
        <v>3</v>
      </c>
    </row>
    <row r="250" spans="1:11" x14ac:dyDescent="0.25">
      <c r="A250">
        <v>1247</v>
      </c>
      <c r="B250" t="s">
        <v>28</v>
      </c>
      <c r="C250">
        <v>48</v>
      </c>
      <c r="D250" t="str">
        <f t="shared" si="3"/>
        <v>41-50</v>
      </c>
      <c r="E250" t="s">
        <v>11</v>
      </c>
      <c r="F250" t="s">
        <v>49</v>
      </c>
      <c r="G250" t="s">
        <v>41</v>
      </c>
      <c r="H250">
        <v>16</v>
      </c>
      <c r="I250">
        <v>507</v>
      </c>
      <c r="J250" t="s">
        <v>43</v>
      </c>
      <c r="K250">
        <v>3</v>
      </c>
    </row>
    <row r="251" spans="1:11" x14ac:dyDescent="0.25">
      <c r="A251">
        <v>1250</v>
      </c>
      <c r="B251" t="s">
        <v>26</v>
      </c>
      <c r="C251">
        <v>46</v>
      </c>
      <c r="D251" t="str">
        <f t="shared" si="3"/>
        <v>41-50</v>
      </c>
      <c r="E251" t="s">
        <v>11</v>
      </c>
      <c r="F251" t="s">
        <v>17</v>
      </c>
      <c r="G251" t="s">
        <v>38</v>
      </c>
      <c r="H251">
        <v>24</v>
      </c>
      <c r="I251">
        <v>2054</v>
      </c>
      <c r="J251" t="s">
        <v>30</v>
      </c>
      <c r="K251">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5F092-7933-478B-A2D6-D5711C1C6C92}">
  <dimension ref="A2:H349"/>
  <sheetViews>
    <sheetView tabSelected="1" zoomScale="53" zoomScaleNormal="60" workbookViewId="0">
      <selection activeCell="B89" sqref="B89"/>
    </sheetView>
  </sheetViews>
  <sheetFormatPr defaultRowHeight="15" x14ac:dyDescent="0.25"/>
  <cols>
    <col min="1" max="1" width="38.7109375" bestFit="1" customWidth="1"/>
    <col min="2" max="2" width="24.42578125" bestFit="1" customWidth="1"/>
    <col min="3" max="3" width="16.85546875" bestFit="1" customWidth="1"/>
    <col min="4" max="4" width="40" bestFit="1" customWidth="1"/>
    <col min="5" max="5" width="9.85546875" bestFit="1" customWidth="1"/>
    <col min="6" max="6" width="12.28515625" bestFit="1" customWidth="1"/>
    <col min="7" max="7" width="8" bestFit="1" customWidth="1"/>
    <col min="8" max="8" width="16.5703125" bestFit="1" customWidth="1"/>
    <col min="9" max="9" width="6.85546875" bestFit="1" customWidth="1"/>
    <col min="10" max="10" width="10.5703125" bestFit="1" customWidth="1"/>
  </cols>
  <sheetData>
    <row r="2" spans="1:4" ht="26.25" x14ac:dyDescent="0.4">
      <c r="B2" s="5" t="s">
        <v>69</v>
      </c>
      <c r="C2" s="4"/>
    </row>
    <row r="4" spans="1:4" x14ac:dyDescent="0.25">
      <c r="A4" s="1" t="s">
        <v>2</v>
      </c>
      <c r="B4" t="s">
        <v>61</v>
      </c>
      <c r="C4" t="s">
        <v>62</v>
      </c>
      <c r="D4" t="s">
        <v>63</v>
      </c>
    </row>
    <row r="5" spans="1:4" x14ac:dyDescent="0.25">
      <c r="A5" s="2" t="s">
        <v>57</v>
      </c>
      <c r="B5">
        <v>18.128205128205128</v>
      </c>
      <c r="C5">
        <v>1584.3589743589744</v>
      </c>
      <c r="D5">
        <v>5.4871794871794872</v>
      </c>
    </row>
    <row r="6" spans="1:4" x14ac:dyDescent="0.25">
      <c r="A6" s="2" t="s">
        <v>54</v>
      </c>
      <c r="B6">
        <v>18.128205128205128</v>
      </c>
      <c r="C6">
        <v>1584.3589743589744</v>
      </c>
      <c r="D6">
        <v>5.4871794871794872</v>
      </c>
    </row>
    <row r="15" spans="1:4" ht="26.25" x14ac:dyDescent="0.4">
      <c r="B15" s="5" t="s">
        <v>70</v>
      </c>
    </row>
    <row r="17" spans="1:4" x14ac:dyDescent="0.25">
      <c r="A17" s="1" t="s">
        <v>64</v>
      </c>
      <c r="B17" s="1" t="s">
        <v>55</v>
      </c>
    </row>
    <row r="18" spans="1:4" x14ac:dyDescent="0.25">
      <c r="A18" s="1" t="s">
        <v>66</v>
      </c>
      <c r="B18" t="s">
        <v>16</v>
      </c>
      <c r="C18" t="s">
        <v>11</v>
      </c>
      <c r="D18" t="s">
        <v>54</v>
      </c>
    </row>
    <row r="19" spans="1:4" x14ac:dyDescent="0.25">
      <c r="A19" s="2" t="s">
        <v>35</v>
      </c>
      <c r="B19">
        <v>21</v>
      </c>
      <c r="C19">
        <v>12</v>
      </c>
      <c r="D19">
        <v>33</v>
      </c>
    </row>
    <row r="20" spans="1:4" x14ac:dyDescent="0.25">
      <c r="A20" s="2" t="s">
        <v>54</v>
      </c>
      <c r="B20">
        <v>21</v>
      </c>
      <c r="C20">
        <v>12</v>
      </c>
      <c r="D20">
        <v>33</v>
      </c>
    </row>
    <row r="47" spans="2:2" ht="26.25" x14ac:dyDescent="0.4">
      <c r="B47" s="5" t="s">
        <v>71</v>
      </c>
    </row>
    <row r="49" spans="1:4" x14ac:dyDescent="0.25">
      <c r="A49" s="1" t="s">
        <v>65</v>
      </c>
      <c r="B49" s="1" t="s">
        <v>3</v>
      </c>
    </row>
    <row r="50" spans="1:4" x14ac:dyDescent="0.25">
      <c r="A50" s="1" t="s">
        <v>68</v>
      </c>
      <c r="B50" t="s">
        <v>16</v>
      </c>
      <c r="C50" t="s">
        <v>11</v>
      </c>
      <c r="D50" t="s">
        <v>54</v>
      </c>
    </row>
    <row r="51" spans="1:4" x14ac:dyDescent="0.25">
      <c r="A51" s="2" t="s">
        <v>23</v>
      </c>
      <c r="B51">
        <v>18</v>
      </c>
      <c r="C51">
        <v>16</v>
      </c>
      <c r="D51">
        <v>34</v>
      </c>
    </row>
    <row r="52" spans="1:4" x14ac:dyDescent="0.25">
      <c r="A52" s="2" t="s">
        <v>19</v>
      </c>
      <c r="B52">
        <v>29</v>
      </c>
      <c r="C52">
        <v>17</v>
      </c>
      <c r="D52">
        <v>46</v>
      </c>
    </row>
    <row r="53" spans="1:4" x14ac:dyDescent="0.25">
      <c r="A53" s="2" t="s">
        <v>14</v>
      </c>
      <c r="B53">
        <v>30</v>
      </c>
      <c r="C53">
        <v>19</v>
      </c>
      <c r="D53">
        <v>49</v>
      </c>
    </row>
    <row r="54" spans="1:4" x14ac:dyDescent="0.25">
      <c r="A54" s="2" t="s">
        <v>36</v>
      </c>
      <c r="B54">
        <v>13</v>
      </c>
      <c r="C54">
        <v>16</v>
      </c>
      <c r="D54">
        <v>29</v>
      </c>
    </row>
    <row r="55" spans="1:4" x14ac:dyDescent="0.25">
      <c r="A55" s="2" t="s">
        <v>30</v>
      </c>
      <c r="B55">
        <v>20</v>
      </c>
      <c r="C55">
        <v>25</v>
      </c>
      <c r="D55">
        <v>45</v>
      </c>
    </row>
    <row r="56" spans="1:4" x14ac:dyDescent="0.25">
      <c r="A56" s="2" t="s">
        <v>43</v>
      </c>
      <c r="B56">
        <v>20</v>
      </c>
      <c r="C56">
        <v>27</v>
      </c>
      <c r="D56">
        <v>47</v>
      </c>
    </row>
    <row r="57" spans="1:4" x14ac:dyDescent="0.25">
      <c r="A57" s="2" t="s">
        <v>54</v>
      </c>
      <c r="B57">
        <v>130</v>
      </c>
      <c r="C57">
        <v>120</v>
      </c>
      <c r="D57">
        <v>250</v>
      </c>
    </row>
    <row r="89" spans="1:2" ht="26.25" x14ac:dyDescent="0.4">
      <c r="B89" s="5" t="s">
        <v>106</v>
      </c>
    </row>
    <row r="91" spans="1:2" x14ac:dyDescent="0.25">
      <c r="A91" s="1" t="s">
        <v>67</v>
      </c>
      <c r="B91" t="s">
        <v>62</v>
      </c>
    </row>
    <row r="92" spans="1:2" x14ac:dyDescent="0.25">
      <c r="A92" s="2" t="s">
        <v>56</v>
      </c>
      <c r="B92" s="3">
        <v>19660</v>
      </c>
    </row>
    <row r="93" spans="1:2" x14ac:dyDescent="0.25">
      <c r="A93" s="2" t="s">
        <v>57</v>
      </c>
      <c r="B93" s="3">
        <v>123580</v>
      </c>
    </row>
    <row r="94" spans="1:2" x14ac:dyDescent="0.25">
      <c r="A94" s="2" t="s">
        <v>58</v>
      </c>
      <c r="B94" s="3">
        <v>126330</v>
      </c>
    </row>
    <row r="95" spans="1:2" x14ac:dyDescent="0.25">
      <c r="A95" s="2" t="s">
        <v>59</v>
      </c>
      <c r="B95" s="3">
        <v>147597</v>
      </c>
    </row>
    <row r="96" spans="1:2" x14ac:dyDescent="0.25">
      <c r="A96" s="2" t="s">
        <v>54</v>
      </c>
      <c r="B96" s="3">
        <v>417167</v>
      </c>
    </row>
    <row r="124" spans="1:2" ht="26.25" x14ac:dyDescent="0.4">
      <c r="B124" s="5" t="s">
        <v>90</v>
      </c>
    </row>
    <row r="128" spans="1:2" x14ac:dyDescent="0.25">
      <c r="A128" s="1" t="s">
        <v>53</v>
      </c>
      <c r="B128" t="s">
        <v>60</v>
      </c>
    </row>
    <row r="129" spans="1:2" x14ac:dyDescent="0.25">
      <c r="A129" s="2" t="s">
        <v>56</v>
      </c>
      <c r="B129">
        <v>1638.3333333333333</v>
      </c>
    </row>
    <row r="130" spans="1:2" x14ac:dyDescent="0.25">
      <c r="A130" s="2" t="s">
        <v>57</v>
      </c>
      <c r="B130">
        <v>1584.3589743589744</v>
      </c>
    </row>
    <row r="131" spans="1:2" x14ac:dyDescent="0.25">
      <c r="A131" s="2" t="s">
        <v>58</v>
      </c>
      <c r="B131">
        <v>1640.6493506493507</v>
      </c>
    </row>
    <row r="132" spans="1:2" x14ac:dyDescent="0.25">
      <c r="A132" s="2" t="s">
        <v>59</v>
      </c>
      <c r="B132">
        <v>1778.2771084337348</v>
      </c>
    </row>
    <row r="133" spans="1:2" x14ac:dyDescent="0.25">
      <c r="A133" s="2" t="s">
        <v>54</v>
      </c>
      <c r="B133">
        <v>1668.6679999999999</v>
      </c>
    </row>
    <row r="160" spans="2:2" ht="26.25" x14ac:dyDescent="0.4">
      <c r="B160" s="5" t="s">
        <v>95</v>
      </c>
    </row>
    <row r="165" spans="1:3" x14ac:dyDescent="0.25">
      <c r="A165" s="1" t="s">
        <v>91</v>
      </c>
      <c r="B165" s="1" t="s">
        <v>55</v>
      </c>
    </row>
    <row r="166" spans="1:3" x14ac:dyDescent="0.25">
      <c r="A166" s="1" t="s">
        <v>53</v>
      </c>
      <c r="B166" t="s">
        <v>30</v>
      </c>
      <c r="C166" t="s">
        <v>54</v>
      </c>
    </row>
    <row r="167" spans="1:3" x14ac:dyDescent="0.25">
      <c r="A167" s="2" t="s">
        <v>56</v>
      </c>
      <c r="B167">
        <v>1</v>
      </c>
      <c r="C167">
        <v>1</v>
      </c>
    </row>
    <row r="168" spans="1:3" x14ac:dyDescent="0.25">
      <c r="A168" s="2" t="s">
        <v>57</v>
      </c>
      <c r="B168">
        <v>16</v>
      </c>
      <c r="C168">
        <v>16</v>
      </c>
    </row>
    <row r="169" spans="1:3" x14ac:dyDescent="0.25">
      <c r="A169" s="2" t="s">
        <v>58</v>
      </c>
      <c r="B169">
        <v>10</v>
      </c>
      <c r="C169">
        <v>10</v>
      </c>
    </row>
    <row r="170" spans="1:3" x14ac:dyDescent="0.25">
      <c r="A170" s="2" t="s">
        <v>59</v>
      </c>
      <c r="B170">
        <v>18</v>
      </c>
      <c r="C170">
        <v>18</v>
      </c>
    </row>
    <row r="171" spans="1:3" x14ac:dyDescent="0.25">
      <c r="A171" s="2" t="s">
        <v>54</v>
      </c>
      <c r="B171">
        <v>45</v>
      </c>
      <c r="C171">
        <v>45</v>
      </c>
    </row>
    <row r="194" spans="1:2" ht="26.25" x14ac:dyDescent="0.4">
      <c r="B194" s="5" t="s">
        <v>96</v>
      </c>
    </row>
    <row r="197" spans="1:2" ht="15.75" thickBot="1" x14ac:dyDescent="0.3"/>
    <row r="198" spans="1:2" x14ac:dyDescent="0.25">
      <c r="A198" s="10" t="s">
        <v>53</v>
      </c>
      <c r="B198" s="11" t="s">
        <v>91</v>
      </c>
    </row>
    <row r="199" spans="1:2" x14ac:dyDescent="0.25">
      <c r="A199" s="12" t="s">
        <v>23</v>
      </c>
      <c r="B199" s="13">
        <v>34</v>
      </c>
    </row>
    <row r="200" spans="1:2" x14ac:dyDescent="0.25">
      <c r="A200" s="12" t="s">
        <v>19</v>
      </c>
      <c r="B200" s="13">
        <v>46</v>
      </c>
    </row>
    <row r="201" spans="1:2" x14ac:dyDescent="0.25">
      <c r="A201" s="12" t="s">
        <v>14</v>
      </c>
      <c r="B201" s="13">
        <v>49</v>
      </c>
    </row>
    <row r="202" spans="1:2" x14ac:dyDescent="0.25">
      <c r="A202" s="12" t="s">
        <v>36</v>
      </c>
      <c r="B202" s="13">
        <v>29</v>
      </c>
    </row>
    <row r="203" spans="1:2" x14ac:dyDescent="0.25">
      <c r="A203" s="12" t="s">
        <v>30</v>
      </c>
      <c r="B203" s="13">
        <v>45</v>
      </c>
    </row>
    <row r="204" spans="1:2" ht="15.75" thickBot="1" x14ac:dyDescent="0.3">
      <c r="A204" s="14" t="s">
        <v>43</v>
      </c>
      <c r="B204" s="15">
        <v>47</v>
      </c>
    </row>
    <row r="224" spans="2:2" ht="26.25" x14ac:dyDescent="0.4">
      <c r="B224" s="5" t="s">
        <v>97</v>
      </c>
    </row>
    <row r="227" spans="1:2" x14ac:dyDescent="0.25">
      <c r="A227" s="1" t="s">
        <v>53</v>
      </c>
      <c r="B227" t="s">
        <v>92</v>
      </c>
    </row>
    <row r="228" spans="1:2" x14ac:dyDescent="0.25">
      <c r="A228" s="2" t="s">
        <v>56</v>
      </c>
      <c r="B228">
        <v>43</v>
      </c>
    </row>
    <row r="229" spans="1:2" x14ac:dyDescent="0.25">
      <c r="A229" s="2" t="s">
        <v>57</v>
      </c>
      <c r="B229">
        <v>428</v>
      </c>
    </row>
    <row r="230" spans="1:2" x14ac:dyDescent="0.25">
      <c r="A230" s="2" t="s">
        <v>58</v>
      </c>
      <c r="B230">
        <v>338</v>
      </c>
    </row>
    <row r="231" spans="1:2" x14ac:dyDescent="0.25">
      <c r="A231" s="2" t="s">
        <v>59</v>
      </c>
      <c r="B231">
        <v>471</v>
      </c>
    </row>
    <row r="232" spans="1:2" x14ac:dyDescent="0.25">
      <c r="A232" s="2" t="s">
        <v>54</v>
      </c>
      <c r="B232">
        <v>1280</v>
      </c>
    </row>
    <row r="253" spans="1:2" ht="26.25" x14ac:dyDescent="0.4">
      <c r="B253" s="5" t="s">
        <v>98</v>
      </c>
    </row>
    <row r="256" spans="1:2" x14ac:dyDescent="0.25">
      <c r="A256" s="1" t="s">
        <v>53</v>
      </c>
      <c r="B256" t="s">
        <v>92</v>
      </c>
    </row>
    <row r="257" spans="1:2" x14ac:dyDescent="0.25">
      <c r="A257" s="2" t="s">
        <v>16</v>
      </c>
      <c r="B257">
        <v>659</v>
      </c>
    </row>
    <row r="258" spans="1:2" x14ac:dyDescent="0.25">
      <c r="A258" s="2" t="s">
        <v>11</v>
      </c>
      <c r="B258">
        <v>621</v>
      </c>
    </row>
    <row r="259" spans="1:2" x14ac:dyDescent="0.25">
      <c r="A259" s="2" t="s">
        <v>54</v>
      </c>
      <c r="B259">
        <v>1280</v>
      </c>
    </row>
    <row r="281" spans="1:2" ht="26.25" x14ac:dyDescent="0.4">
      <c r="B281" s="5" t="s">
        <v>99</v>
      </c>
    </row>
    <row r="285" spans="1:2" ht="15.75" thickBot="1" x14ac:dyDescent="0.3"/>
    <row r="286" spans="1:2" x14ac:dyDescent="0.25">
      <c r="A286" s="10" t="s">
        <v>53</v>
      </c>
      <c r="B286" s="11" t="s">
        <v>93</v>
      </c>
    </row>
    <row r="287" spans="1:2" x14ac:dyDescent="0.25">
      <c r="A287" s="12" t="s">
        <v>56</v>
      </c>
      <c r="B287" s="13">
        <v>12</v>
      </c>
    </row>
    <row r="288" spans="1:2" x14ac:dyDescent="0.25">
      <c r="A288" s="12" t="s">
        <v>57</v>
      </c>
      <c r="B288" s="13">
        <v>78</v>
      </c>
    </row>
    <row r="289" spans="1:2" x14ac:dyDescent="0.25">
      <c r="A289" s="12" t="s">
        <v>58</v>
      </c>
      <c r="B289" s="19">
        <v>77</v>
      </c>
    </row>
    <row r="290" spans="1:2" ht="15.75" thickBot="1" x14ac:dyDescent="0.3">
      <c r="A290" s="14" t="s">
        <v>59</v>
      </c>
      <c r="B290" s="15">
        <v>83</v>
      </c>
    </row>
    <row r="303" spans="1:2" x14ac:dyDescent="0.25">
      <c r="A303" s="16"/>
    </row>
    <row r="312" spans="1:2" ht="26.25" x14ac:dyDescent="0.4">
      <c r="B312" s="5" t="s">
        <v>100</v>
      </c>
    </row>
    <row r="316" spans="1:2" x14ac:dyDescent="0.25">
      <c r="A316" s="1" t="s">
        <v>53</v>
      </c>
      <c r="B316" t="s">
        <v>93</v>
      </c>
    </row>
    <row r="317" spans="1:2" x14ac:dyDescent="0.25">
      <c r="A317" s="2" t="s">
        <v>16</v>
      </c>
      <c r="B317">
        <v>130</v>
      </c>
    </row>
    <row r="318" spans="1:2" x14ac:dyDescent="0.25">
      <c r="A318" s="2" t="s">
        <v>11</v>
      </c>
      <c r="B318">
        <v>120</v>
      </c>
    </row>
    <row r="319" spans="1:2" x14ac:dyDescent="0.25">
      <c r="A319" s="2" t="s">
        <v>54</v>
      </c>
      <c r="B319">
        <v>250</v>
      </c>
    </row>
    <row r="341" spans="1:8" ht="26.25" x14ac:dyDescent="0.4">
      <c r="B341" s="5" t="s">
        <v>101</v>
      </c>
    </row>
    <row r="345" spans="1:8" x14ac:dyDescent="0.25">
      <c r="A345" s="1" t="s">
        <v>91</v>
      </c>
      <c r="B345" s="1" t="s">
        <v>55</v>
      </c>
    </row>
    <row r="346" spans="1:8" x14ac:dyDescent="0.25">
      <c r="A346" s="1" t="s">
        <v>53</v>
      </c>
      <c r="B346" t="s">
        <v>23</v>
      </c>
      <c r="C346" t="s">
        <v>19</v>
      </c>
      <c r="D346" t="s">
        <v>14</v>
      </c>
      <c r="E346" t="s">
        <v>36</v>
      </c>
      <c r="F346" t="s">
        <v>30</v>
      </c>
      <c r="G346" t="s">
        <v>43</v>
      </c>
      <c r="H346" t="s">
        <v>54</v>
      </c>
    </row>
    <row r="347" spans="1:8" x14ac:dyDescent="0.25">
      <c r="A347" s="2" t="s">
        <v>16</v>
      </c>
      <c r="B347">
        <v>18</v>
      </c>
      <c r="C347">
        <v>29</v>
      </c>
      <c r="D347">
        <v>30</v>
      </c>
      <c r="E347">
        <v>13</v>
      </c>
      <c r="F347">
        <v>20</v>
      </c>
      <c r="G347">
        <v>20</v>
      </c>
      <c r="H347">
        <v>130</v>
      </c>
    </row>
    <row r="348" spans="1:8" x14ac:dyDescent="0.25">
      <c r="A348" s="2" t="s">
        <v>11</v>
      </c>
      <c r="B348">
        <v>16</v>
      </c>
      <c r="C348">
        <v>17</v>
      </c>
      <c r="D348">
        <v>19</v>
      </c>
      <c r="E348">
        <v>16</v>
      </c>
      <c r="F348">
        <v>25</v>
      </c>
      <c r="G348">
        <v>27</v>
      </c>
      <c r="H348">
        <v>120</v>
      </c>
    </row>
    <row r="349" spans="1:8" x14ac:dyDescent="0.25">
      <c r="A349" s="2" t="s">
        <v>54</v>
      </c>
      <c r="B349">
        <v>34</v>
      </c>
      <c r="C349">
        <v>46</v>
      </c>
      <c r="D349">
        <v>49</v>
      </c>
      <c r="E349">
        <v>29</v>
      </c>
      <c r="F349">
        <v>45</v>
      </c>
      <c r="G349">
        <v>47</v>
      </c>
      <c r="H349">
        <v>250</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6B087-D1A3-4FC5-B4B7-75229D822FB7}">
  <dimension ref="A1:AV251"/>
  <sheetViews>
    <sheetView topLeftCell="AO1" zoomScale="56" zoomScaleNormal="70" workbookViewId="0">
      <selection activeCell="X8" sqref="X8"/>
    </sheetView>
  </sheetViews>
  <sheetFormatPr defaultRowHeight="15" x14ac:dyDescent="0.25"/>
  <cols>
    <col min="2" max="2" width="30.5703125" customWidth="1"/>
    <col min="18" max="18" width="38.85546875" customWidth="1"/>
    <col min="30" max="30" width="18.5703125" customWidth="1"/>
    <col min="31" max="31" width="40.42578125" customWidth="1"/>
    <col min="32" max="32" width="14.28515625" customWidth="1"/>
    <col min="45" max="45" width="20.5703125" customWidth="1"/>
    <col min="46" max="46" width="42.85546875" customWidth="1"/>
  </cols>
  <sheetData>
    <row r="1" spans="1:48" x14ac:dyDescent="0.25">
      <c r="A1" s="6" t="s">
        <v>3</v>
      </c>
      <c r="B1" s="6" t="s">
        <v>7</v>
      </c>
      <c r="Q1" s="6" t="s">
        <v>3</v>
      </c>
      <c r="R1" s="6" t="s">
        <v>6</v>
      </c>
      <c r="AD1" t="s">
        <v>85</v>
      </c>
      <c r="AE1" t="s">
        <v>7</v>
      </c>
      <c r="AS1" t="s">
        <v>85</v>
      </c>
      <c r="AT1" t="s">
        <v>6</v>
      </c>
    </row>
    <row r="2" spans="1:48" x14ac:dyDescent="0.25">
      <c r="A2" s="7" t="s">
        <v>11</v>
      </c>
      <c r="B2" s="7">
        <v>856</v>
      </c>
      <c r="Q2" s="7" t="s">
        <v>11</v>
      </c>
      <c r="R2" s="7">
        <v>13</v>
      </c>
      <c r="AD2" t="s">
        <v>89</v>
      </c>
      <c r="AE2">
        <v>880</v>
      </c>
      <c r="AS2" t="s">
        <v>89</v>
      </c>
      <c r="AT2">
        <v>26</v>
      </c>
    </row>
    <row r="3" spans="1:48" x14ac:dyDescent="0.25">
      <c r="A3" s="8" t="s">
        <v>16</v>
      </c>
      <c r="B3" s="8">
        <v>2738</v>
      </c>
      <c r="Q3" s="8" t="s">
        <v>16</v>
      </c>
      <c r="R3" s="8">
        <v>16</v>
      </c>
      <c r="AD3" t="s">
        <v>89</v>
      </c>
      <c r="AE3">
        <v>2994</v>
      </c>
      <c r="AS3" t="s">
        <v>89</v>
      </c>
      <c r="AT3">
        <v>21</v>
      </c>
    </row>
    <row r="4" spans="1:48" ht="18" customHeight="1" x14ac:dyDescent="0.25">
      <c r="A4" s="7" t="s">
        <v>11</v>
      </c>
      <c r="B4" s="7">
        <v>2865</v>
      </c>
      <c r="Q4" s="7" t="s">
        <v>11</v>
      </c>
      <c r="R4" s="7">
        <v>27</v>
      </c>
      <c r="AD4" t="s">
        <v>89</v>
      </c>
      <c r="AE4">
        <v>511</v>
      </c>
      <c r="AS4" t="s">
        <v>89</v>
      </c>
      <c r="AT4">
        <v>21</v>
      </c>
    </row>
    <row r="5" spans="1:48" ht="26.25" x14ac:dyDescent="0.4">
      <c r="A5" s="8" t="s">
        <v>11</v>
      </c>
      <c r="B5" s="8">
        <v>2516</v>
      </c>
      <c r="E5" s="5" t="s">
        <v>102</v>
      </c>
      <c r="Q5" s="8" t="s">
        <v>11</v>
      </c>
      <c r="R5" s="8">
        <v>30</v>
      </c>
      <c r="T5" s="5" t="s">
        <v>103</v>
      </c>
      <c r="AD5" t="s">
        <v>89</v>
      </c>
      <c r="AE5">
        <v>1254</v>
      </c>
      <c r="AG5" s="5" t="s">
        <v>104</v>
      </c>
      <c r="AS5" t="s">
        <v>89</v>
      </c>
      <c r="AT5">
        <v>21</v>
      </c>
      <c r="AV5" s="5" t="s">
        <v>105</v>
      </c>
    </row>
    <row r="6" spans="1:48" x14ac:dyDescent="0.25">
      <c r="A6" s="7" t="s">
        <v>16</v>
      </c>
      <c r="B6" s="7">
        <v>564</v>
      </c>
      <c r="Q6" s="7" t="s">
        <v>16</v>
      </c>
      <c r="R6" s="7">
        <v>13</v>
      </c>
      <c r="AD6" t="s">
        <v>89</v>
      </c>
      <c r="AE6">
        <v>787</v>
      </c>
      <c r="AS6" t="s">
        <v>89</v>
      </c>
      <c r="AT6">
        <v>8</v>
      </c>
    </row>
    <row r="7" spans="1:48" x14ac:dyDescent="0.25">
      <c r="A7" s="8" t="s">
        <v>16</v>
      </c>
      <c r="B7" s="8">
        <v>1872</v>
      </c>
      <c r="Q7" s="8" t="s">
        <v>16</v>
      </c>
      <c r="R7" s="8">
        <v>9</v>
      </c>
      <c r="AD7" t="s">
        <v>89</v>
      </c>
      <c r="AE7">
        <v>2846</v>
      </c>
      <c r="AS7" t="s">
        <v>89</v>
      </c>
      <c r="AT7">
        <v>28</v>
      </c>
    </row>
    <row r="8" spans="1:48" x14ac:dyDescent="0.25">
      <c r="A8" s="7" t="s">
        <v>16</v>
      </c>
      <c r="B8" s="7">
        <v>1446</v>
      </c>
      <c r="Q8" s="7" t="s">
        <v>16</v>
      </c>
      <c r="R8" s="7">
        <v>5</v>
      </c>
      <c r="AD8" t="s">
        <v>89</v>
      </c>
      <c r="AE8">
        <v>979</v>
      </c>
      <c r="AS8" t="s">
        <v>89</v>
      </c>
      <c r="AT8">
        <v>9</v>
      </c>
    </row>
    <row r="9" spans="1:48" x14ac:dyDescent="0.25">
      <c r="A9" s="8" t="s">
        <v>11</v>
      </c>
      <c r="B9" s="8">
        <v>509</v>
      </c>
      <c r="Q9" s="8" t="s">
        <v>11</v>
      </c>
      <c r="R9" s="8">
        <v>11</v>
      </c>
      <c r="AD9" t="s">
        <v>89</v>
      </c>
      <c r="AE9">
        <v>1517</v>
      </c>
      <c r="AS9" t="s">
        <v>89</v>
      </c>
      <c r="AT9">
        <v>22</v>
      </c>
    </row>
    <row r="10" spans="1:48" x14ac:dyDescent="0.25">
      <c r="A10" s="7" t="s">
        <v>11</v>
      </c>
      <c r="B10" s="7">
        <v>2124</v>
      </c>
      <c r="Q10" s="7" t="s">
        <v>11</v>
      </c>
      <c r="R10" s="7">
        <v>18</v>
      </c>
      <c r="AD10" t="s">
        <v>89</v>
      </c>
      <c r="AE10">
        <v>1772</v>
      </c>
      <c r="AS10" t="s">
        <v>89</v>
      </c>
      <c r="AT10">
        <v>25</v>
      </c>
    </row>
    <row r="11" spans="1:48" x14ac:dyDescent="0.25">
      <c r="A11" s="8" t="s">
        <v>16</v>
      </c>
      <c r="B11" s="8">
        <v>1684</v>
      </c>
      <c r="Q11" s="8" t="s">
        <v>16</v>
      </c>
      <c r="R11" s="8">
        <v>30</v>
      </c>
      <c r="AD11" t="s">
        <v>89</v>
      </c>
      <c r="AE11">
        <v>1630</v>
      </c>
      <c r="AS11" t="s">
        <v>89</v>
      </c>
      <c r="AT11">
        <v>29</v>
      </c>
    </row>
    <row r="12" spans="1:48" x14ac:dyDescent="0.25">
      <c r="A12" s="7" t="s">
        <v>16</v>
      </c>
      <c r="B12" s="7">
        <v>507</v>
      </c>
      <c r="Q12" s="7" t="s">
        <v>16</v>
      </c>
      <c r="R12" s="7">
        <v>26</v>
      </c>
      <c r="AD12" t="s">
        <v>89</v>
      </c>
      <c r="AE12">
        <v>566</v>
      </c>
      <c r="AS12" t="s">
        <v>89</v>
      </c>
      <c r="AT12">
        <v>9</v>
      </c>
    </row>
    <row r="13" spans="1:48" x14ac:dyDescent="0.25">
      <c r="A13" s="8" t="s">
        <v>11</v>
      </c>
      <c r="B13" s="8">
        <v>1743</v>
      </c>
      <c r="Q13" s="8" t="s">
        <v>11</v>
      </c>
      <c r="R13" s="8">
        <v>5</v>
      </c>
      <c r="AD13" t="s">
        <v>89</v>
      </c>
      <c r="AE13">
        <v>564</v>
      </c>
      <c r="AS13" t="s">
        <v>89</v>
      </c>
      <c r="AT13">
        <v>27</v>
      </c>
    </row>
    <row r="14" spans="1:48" x14ac:dyDescent="0.25">
      <c r="A14" s="7" t="s">
        <v>16</v>
      </c>
      <c r="B14" s="7">
        <v>1339</v>
      </c>
      <c r="Q14" s="7" t="s">
        <v>16</v>
      </c>
      <c r="R14" s="7">
        <v>9</v>
      </c>
      <c r="AD14" t="s">
        <v>89</v>
      </c>
      <c r="AE14">
        <v>2716</v>
      </c>
      <c r="AS14" t="s">
        <v>89</v>
      </c>
      <c r="AT14">
        <v>8</v>
      </c>
    </row>
    <row r="15" spans="1:48" x14ac:dyDescent="0.25">
      <c r="A15" s="8" t="s">
        <v>16</v>
      </c>
      <c r="B15" s="8">
        <v>1439</v>
      </c>
      <c r="Q15" s="8" t="s">
        <v>16</v>
      </c>
      <c r="R15" s="8">
        <v>16</v>
      </c>
      <c r="AD15" t="s">
        <v>89</v>
      </c>
      <c r="AE15">
        <v>2606</v>
      </c>
      <c r="AS15" t="s">
        <v>89</v>
      </c>
      <c r="AT15">
        <v>29</v>
      </c>
    </row>
    <row r="16" spans="1:48" x14ac:dyDescent="0.25">
      <c r="A16" s="7" t="s">
        <v>16</v>
      </c>
      <c r="B16" s="7">
        <v>1531</v>
      </c>
      <c r="Q16" s="7" t="s">
        <v>16</v>
      </c>
      <c r="R16" s="7">
        <v>15</v>
      </c>
      <c r="AD16" t="s">
        <v>89</v>
      </c>
      <c r="AE16">
        <v>1447</v>
      </c>
      <c r="AS16" t="s">
        <v>89</v>
      </c>
      <c r="AT16">
        <v>11</v>
      </c>
    </row>
    <row r="17" spans="1:46" x14ac:dyDescent="0.25">
      <c r="A17" s="8" t="s">
        <v>16</v>
      </c>
      <c r="B17" s="8">
        <v>1512</v>
      </c>
      <c r="Q17" s="8" t="s">
        <v>16</v>
      </c>
      <c r="R17" s="8">
        <v>14</v>
      </c>
      <c r="AD17" t="s">
        <v>89</v>
      </c>
      <c r="AE17">
        <v>2352</v>
      </c>
      <c r="AS17" t="s">
        <v>89</v>
      </c>
      <c r="AT17">
        <v>15</v>
      </c>
    </row>
    <row r="18" spans="1:46" x14ac:dyDescent="0.25">
      <c r="A18" s="7" t="s">
        <v>16</v>
      </c>
      <c r="B18" s="7">
        <v>2216</v>
      </c>
      <c r="Q18" s="7" t="s">
        <v>16</v>
      </c>
      <c r="R18" s="7">
        <v>17</v>
      </c>
      <c r="AD18" t="s">
        <v>89</v>
      </c>
      <c r="AE18">
        <v>867</v>
      </c>
      <c r="AS18" t="s">
        <v>89</v>
      </c>
      <c r="AT18">
        <v>17</v>
      </c>
    </row>
    <row r="19" spans="1:46" x14ac:dyDescent="0.25">
      <c r="A19" s="8" t="s">
        <v>16</v>
      </c>
      <c r="B19" s="8">
        <v>568</v>
      </c>
      <c r="Q19" s="8" t="s">
        <v>16</v>
      </c>
      <c r="R19" s="8">
        <v>23</v>
      </c>
      <c r="AD19" t="s">
        <v>89</v>
      </c>
      <c r="AE19">
        <v>2543</v>
      </c>
      <c r="AS19" t="s">
        <v>89</v>
      </c>
      <c r="AT19">
        <v>11</v>
      </c>
    </row>
    <row r="20" spans="1:46" x14ac:dyDescent="0.25">
      <c r="A20" s="7" t="s">
        <v>16</v>
      </c>
      <c r="B20" s="7">
        <v>1715</v>
      </c>
      <c r="Q20" s="7" t="s">
        <v>16</v>
      </c>
      <c r="R20" s="7">
        <v>9</v>
      </c>
      <c r="AD20" t="s">
        <v>89</v>
      </c>
      <c r="AE20">
        <v>2306</v>
      </c>
      <c r="AS20" t="s">
        <v>89</v>
      </c>
      <c r="AT20">
        <v>29</v>
      </c>
    </row>
    <row r="21" spans="1:46" x14ac:dyDescent="0.25">
      <c r="A21" s="8" t="s">
        <v>16</v>
      </c>
      <c r="B21" s="8">
        <v>2831</v>
      </c>
      <c r="Q21" s="8" t="s">
        <v>16</v>
      </c>
      <c r="R21" s="8">
        <v>25</v>
      </c>
      <c r="AD21" t="s">
        <v>88</v>
      </c>
      <c r="AE21">
        <v>2516</v>
      </c>
      <c r="AS21" t="s">
        <v>88</v>
      </c>
      <c r="AT21">
        <v>30</v>
      </c>
    </row>
    <row r="22" spans="1:46" x14ac:dyDescent="0.25">
      <c r="A22" s="7" t="s">
        <v>11</v>
      </c>
      <c r="B22" s="7">
        <v>2607</v>
      </c>
      <c r="Q22" s="7" t="s">
        <v>11</v>
      </c>
      <c r="R22" s="7">
        <v>11</v>
      </c>
      <c r="AD22" t="s">
        <v>88</v>
      </c>
      <c r="AE22">
        <v>564</v>
      </c>
      <c r="AS22" t="s">
        <v>88</v>
      </c>
      <c r="AT22">
        <v>13</v>
      </c>
    </row>
    <row r="23" spans="1:46" x14ac:dyDescent="0.25">
      <c r="A23" s="8" t="s">
        <v>16</v>
      </c>
      <c r="B23" s="8">
        <v>884</v>
      </c>
      <c r="Q23" s="8" t="s">
        <v>16</v>
      </c>
      <c r="R23" s="8">
        <v>26</v>
      </c>
      <c r="AD23" t="s">
        <v>88</v>
      </c>
      <c r="AE23">
        <v>1872</v>
      </c>
      <c r="AS23" t="s">
        <v>88</v>
      </c>
      <c r="AT23">
        <v>9</v>
      </c>
    </row>
    <row r="24" spans="1:46" x14ac:dyDescent="0.25">
      <c r="A24" s="7" t="s">
        <v>16</v>
      </c>
      <c r="B24" s="7">
        <v>1359</v>
      </c>
      <c r="Q24" s="7" t="s">
        <v>16</v>
      </c>
      <c r="R24" s="7">
        <v>23</v>
      </c>
      <c r="AD24" t="s">
        <v>88</v>
      </c>
      <c r="AE24">
        <v>1446</v>
      </c>
      <c r="AS24" t="s">
        <v>88</v>
      </c>
      <c r="AT24">
        <v>5</v>
      </c>
    </row>
    <row r="25" spans="1:46" x14ac:dyDescent="0.25">
      <c r="A25" s="8" t="s">
        <v>16</v>
      </c>
      <c r="B25" s="8">
        <v>757</v>
      </c>
      <c r="Q25" s="8" t="s">
        <v>16</v>
      </c>
      <c r="R25" s="8">
        <v>19</v>
      </c>
      <c r="AD25" t="s">
        <v>88</v>
      </c>
      <c r="AE25">
        <v>1743</v>
      </c>
      <c r="AS25" t="s">
        <v>88</v>
      </c>
      <c r="AT25">
        <v>5</v>
      </c>
    </row>
    <row r="26" spans="1:46" x14ac:dyDescent="0.25">
      <c r="A26" s="7" t="s">
        <v>16</v>
      </c>
      <c r="B26" s="7">
        <v>1965</v>
      </c>
      <c r="Q26" s="7" t="s">
        <v>16</v>
      </c>
      <c r="R26" s="7">
        <v>5</v>
      </c>
      <c r="AD26" t="s">
        <v>88</v>
      </c>
      <c r="AE26">
        <v>1531</v>
      </c>
      <c r="AS26" t="s">
        <v>88</v>
      </c>
      <c r="AT26">
        <v>15</v>
      </c>
    </row>
    <row r="27" spans="1:46" x14ac:dyDescent="0.25">
      <c r="A27" s="8" t="s">
        <v>16</v>
      </c>
      <c r="B27" s="8">
        <v>2395</v>
      </c>
      <c r="Q27" s="8" t="s">
        <v>16</v>
      </c>
      <c r="R27" s="8">
        <v>9</v>
      </c>
      <c r="AD27" t="s">
        <v>88</v>
      </c>
      <c r="AE27">
        <v>2831</v>
      </c>
      <c r="AS27" t="s">
        <v>88</v>
      </c>
      <c r="AT27">
        <v>25</v>
      </c>
    </row>
    <row r="28" spans="1:46" x14ac:dyDescent="0.25">
      <c r="A28" s="7" t="s">
        <v>11</v>
      </c>
      <c r="B28" s="7">
        <v>2578</v>
      </c>
      <c r="Q28" s="7" t="s">
        <v>11</v>
      </c>
      <c r="R28" s="7">
        <v>18</v>
      </c>
      <c r="AD28" t="s">
        <v>88</v>
      </c>
      <c r="AE28">
        <v>884</v>
      </c>
      <c r="AS28" t="s">
        <v>88</v>
      </c>
      <c r="AT28">
        <v>26</v>
      </c>
    </row>
    <row r="29" spans="1:46" x14ac:dyDescent="0.25">
      <c r="A29" s="8" t="s">
        <v>16</v>
      </c>
      <c r="B29" s="8">
        <v>1651</v>
      </c>
      <c r="Q29" s="8" t="s">
        <v>16</v>
      </c>
      <c r="R29" s="8">
        <v>18</v>
      </c>
      <c r="AD29" t="s">
        <v>88</v>
      </c>
      <c r="AE29">
        <v>1359</v>
      </c>
      <c r="AS29" t="s">
        <v>88</v>
      </c>
      <c r="AT29">
        <v>23</v>
      </c>
    </row>
    <row r="30" spans="1:46" x14ac:dyDescent="0.25">
      <c r="A30" s="7" t="s">
        <v>11</v>
      </c>
      <c r="B30" s="7">
        <v>2263</v>
      </c>
      <c r="Q30" s="7" t="s">
        <v>11</v>
      </c>
      <c r="R30" s="7">
        <v>7</v>
      </c>
      <c r="AD30" t="s">
        <v>88</v>
      </c>
      <c r="AE30">
        <v>1965</v>
      </c>
      <c r="AS30" t="s">
        <v>88</v>
      </c>
      <c r="AT30">
        <v>5</v>
      </c>
    </row>
    <row r="31" spans="1:46" x14ac:dyDescent="0.25">
      <c r="A31" s="8" t="s">
        <v>11</v>
      </c>
      <c r="B31" s="8">
        <v>733</v>
      </c>
      <c r="Q31" s="8" t="s">
        <v>11</v>
      </c>
      <c r="R31" s="8">
        <v>29</v>
      </c>
      <c r="AD31" t="s">
        <v>88</v>
      </c>
      <c r="AE31">
        <v>2395</v>
      </c>
      <c r="AS31" t="s">
        <v>88</v>
      </c>
      <c r="AT31">
        <v>9</v>
      </c>
    </row>
    <row r="32" spans="1:46" x14ac:dyDescent="0.25">
      <c r="A32" s="7" t="s">
        <v>16</v>
      </c>
      <c r="B32" s="7">
        <v>1749</v>
      </c>
      <c r="Q32" s="7" t="s">
        <v>16</v>
      </c>
      <c r="R32" s="7">
        <v>28</v>
      </c>
      <c r="AD32" t="s">
        <v>88</v>
      </c>
      <c r="AE32">
        <v>1716</v>
      </c>
      <c r="AS32" t="s">
        <v>88</v>
      </c>
      <c r="AT32">
        <v>18</v>
      </c>
    </row>
    <row r="33" spans="1:46" x14ac:dyDescent="0.25">
      <c r="A33" s="8" t="s">
        <v>16</v>
      </c>
      <c r="B33" s="8">
        <v>1716</v>
      </c>
      <c r="Q33" s="8" t="s">
        <v>16</v>
      </c>
      <c r="R33" s="8">
        <v>18</v>
      </c>
      <c r="AD33" t="s">
        <v>88</v>
      </c>
      <c r="AE33">
        <v>2353</v>
      </c>
      <c r="AS33" t="s">
        <v>88</v>
      </c>
      <c r="AT33">
        <v>20</v>
      </c>
    </row>
    <row r="34" spans="1:46" x14ac:dyDescent="0.25">
      <c r="A34" s="7" t="s">
        <v>11</v>
      </c>
      <c r="B34" s="7">
        <v>2602</v>
      </c>
      <c r="Q34" s="7" t="s">
        <v>11</v>
      </c>
      <c r="R34" s="7">
        <v>28</v>
      </c>
      <c r="AD34" t="s">
        <v>88</v>
      </c>
      <c r="AE34">
        <v>2852</v>
      </c>
      <c r="AS34" t="s">
        <v>88</v>
      </c>
      <c r="AT34">
        <v>15</v>
      </c>
    </row>
    <row r="35" spans="1:46" x14ac:dyDescent="0.25">
      <c r="A35" s="8" t="s">
        <v>16</v>
      </c>
      <c r="B35" s="8">
        <v>1106</v>
      </c>
      <c r="Q35" s="8" t="s">
        <v>16</v>
      </c>
      <c r="R35" s="8">
        <v>29</v>
      </c>
      <c r="AD35" t="s">
        <v>88</v>
      </c>
      <c r="AE35">
        <v>1401</v>
      </c>
      <c r="AS35" t="s">
        <v>88</v>
      </c>
      <c r="AT35">
        <v>26</v>
      </c>
    </row>
    <row r="36" spans="1:46" x14ac:dyDescent="0.25">
      <c r="A36" s="7" t="s">
        <v>11</v>
      </c>
      <c r="B36" s="7">
        <v>1488</v>
      </c>
      <c r="Q36" s="7" t="s">
        <v>11</v>
      </c>
      <c r="R36" s="7">
        <v>22</v>
      </c>
      <c r="AD36" t="s">
        <v>88</v>
      </c>
      <c r="AE36">
        <v>1084</v>
      </c>
      <c r="AS36" t="s">
        <v>88</v>
      </c>
      <c r="AT36">
        <v>28</v>
      </c>
    </row>
    <row r="37" spans="1:46" x14ac:dyDescent="0.25">
      <c r="A37" s="8" t="s">
        <v>16</v>
      </c>
      <c r="B37" s="8">
        <v>1455</v>
      </c>
      <c r="Q37" s="8" t="s">
        <v>16</v>
      </c>
      <c r="R37" s="8">
        <v>27</v>
      </c>
      <c r="AD37" t="s">
        <v>88</v>
      </c>
      <c r="AE37">
        <v>1473</v>
      </c>
      <c r="AS37" t="s">
        <v>88</v>
      </c>
      <c r="AT37">
        <v>9</v>
      </c>
    </row>
    <row r="38" spans="1:46" x14ac:dyDescent="0.25">
      <c r="A38" s="7" t="s">
        <v>16</v>
      </c>
      <c r="B38" s="7">
        <v>2353</v>
      </c>
      <c r="Q38" s="7" t="s">
        <v>16</v>
      </c>
      <c r="R38" s="7">
        <v>20</v>
      </c>
      <c r="AD38" t="s">
        <v>88</v>
      </c>
      <c r="AE38">
        <v>731</v>
      </c>
      <c r="AS38" t="s">
        <v>88</v>
      </c>
      <c r="AT38">
        <v>7</v>
      </c>
    </row>
    <row r="39" spans="1:46" x14ac:dyDescent="0.25">
      <c r="A39" s="8" t="s">
        <v>16</v>
      </c>
      <c r="B39" s="8">
        <v>880</v>
      </c>
      <c r="Q39" s="8" t="s">
        <v>16</v>
      </c>
      <c r="R39" s="8">
        <v>26</v>
      </c>
      <c r="AD39" t="s">
        <v>88</v>
      </c>
      <c r="AE39">
        <v>558</v>
      </c>
      <c r="AS39" t="s">
        <v>88</v>
      </c>
      <c r="AT39">
        <v>27</v>
      </c>
    </row>
    <row r="40" spans="1:46" x14ac:dyDescent="0.25">
      <c r="A40" s="7" t="s">
        <v>16</v>
      </c>
      <c r="B40" s="7">
        <v>2569</v>
      </c>
      <c r="Q40" s="7" t="s">
        <v>16</v>
      </c>
      <c r="R40" s="7">
        <v>15</v>
      </c>
      <c r="AD40" t="s">
        <v>88</v>
      </c>
      <c r="AE40">
        <v>943</v>
      </c>
      <c r="AS40" t="s">
        <v>88</v>
      </c>
      <c r="AT40">
        <v>22</v>
      </c>
    </row>
    <row r="41" spans="1:46" x14ac:dyDescent="0.25">
      <c r="A41" s="8" t="s">
        <v>16</v>
      </c>
      <c r="B41" s="8">
        <v>2995</v>
      </c>
      <c r="Q41" s="8" t="s">
        <v>16</v>
      </c>
      <c r="R41" s="8">
        <v>19</v>
      </c>
      <c r="AD41" t="s">
        <v>88</v>
      </c>
      <c r="AE41">
        <v>1771</v>
      </c>
      <c r="AS41" t="s">
        <v>88</v>
      </c>
      <c r="AT41">
        <v>6</v>
      </c>
    </row>
    <row r="42" spans="1:46" x14ac:dyDescent="0.25">
      <c r="A42" s="7" t="s">
        <v>16</v>
      </c>
      <c r="B42" s="7">
        <v>720</v>
      </c>
      <c r="Q42" s="7" t="s">
        <v>16</v>
      </c>
      <c r="R42" s="7">
        <v>6</v>
      </c>
      <c r="AD42" t="s">
        <v>88</v>
      </c>
      <c r="AE42">
        <v>661</v>
      </c>
      <c r="AS42" t="s">
        <v>88</v>
      </c>
      <c r="AT42">
        <v>5</v>
      </c>
    </row>
    <row r="43" spans="1:46" x14ac:dyDescent="0.25">
      <c r="A43" s="8" t="s">
        <v>16</v>
      </c>
      <c r="B43" s="8">
        <v>2224</v>
      </c>
      <c r="Q43" s="8" t="s">
        <v>16</v>
      </c>
      <c r="R43" s="8">
        <v>16</v>
      </c>
      <c r="AD43" t="s">
        <v>88</v>
      </c>
      <c r="AE43">
        <v>761</v>
      </c>
      <c r="AS43" t="s">
        <v>88</v>
      </c>
      <c r="AT43">
        <v>13</v>
      </c>
    </row>
    <row r="44" spans="1:46" x14ac:dyDescent="0.25">
      <c r="A44" s="7" t="s">
        <v>11</v>
      </c>
      <c r="B44" s="7">
        <v>2994</v>
      </c>
      <c r="Q44" s="7" t="s">
        <v>11</v>
      </c>
      <c r="R44" s="7">
        <v>21</v>
      </c>
      <c r="AD44" t="s">
        <v>88</v>
      </c>
      <c r="AE44">
        <v>691</v>
      </c>
      <c r="AS44" t="s">
        <v>88</v>
      </c>
      <c r="AT44">
        <v>22</v>
      </c>
    </row>
    <row r="45" spans="1:46" x14ac:dyDescent="0.25">
      <c r="A45" s="8" t="s">
        <v>16</v>
      </c>
      <c r="B45" s="8">
        <v>2463</v>
      </c>
      <c r="Q45" s="8" t="s">
        <v>16</v>
      </c>
      <c r="R45" s="8">
        <v>8</v>
      </c>
      <c r="AD45" t="s">
        <v>88</v>
      </c>
      <c r="AE45">
        <v>2791</v>
      </c>
      <c r="AS45" t="s">
        <v>88</v>
      </c>
      <c r="AT45">
        <v>25</v>
      </c>
    </row>
    <row r="46" spans="1:46" x14ac:dyDescent="0.25">
      <c r="A46" s="7" t="s">
        <v>11</v>
      </c>
      <c r="B46" s="7">
        <v>2779</v>
      </c>
      <c r="Q46" s="7" t="s">
        <v>11</v>
      </c>
      <c r="R46" s="7">
        <v>22</v>
      </c>
      <c r="AD46" t="s">
        <v>88</v>
      </c>
      <c r="AE46">
        <v>1649</v>
      </c>
      <c r="AS46" t="s">
        <v>88</v>
      </c>
      <c r="AT46">
        <v>27</v>
      </c>
    </row>
    <row r="47" spans="1:46" x14ac:dyDescent="0.25">
      <c r="A47" s="8" t="s">
        <v>16</v>
      </c>
      <c r="B47" s="8">
        <v>2910</v>
      </c>
      <c r="Q47" s="8" t="s">
        <v>16</v>
      </c>
      <c r="R47" s="8">
        <v>6</v>
      </c>
      <c r="AD47" t="s">
        <v>88</v>
      </c>
      <c r="AE47">
        <v>2194</v>
      </c>
      <c r="AS47" t="s">
        <v>88</v>
      </c>
      <c r="AT47">
        <v>25</v>
      </c>
    </row>
    <row r="48" spans="1:46" x14ac:dyDescent="0.25">
      <c r="A48" s="7" t="s">
        <v>16</v>
      </c>
      <c r="B48" s="7">
        <v>2852</v>
      </c>
      <c r="Q48" s="7" t="s">
        <v>16</v>
      </c>
      <c r="R48" s="7">
        <v>15</v>
      </c>
      <c r="AD48" t="s">
        <v>88</v>
      </c>
      <c r="AE48">
        <v>675</v>
      </c>
      <c r="AS48" t="s">
        <v>88</v>
      </c>
      <c r="AT48">
        <v>18</v>
      </c>
    </row>
    <row r="49" spans="1:46" x14ac:dyDescent="0.25">
      <c r="A49" s="8" t="s">
        <v>16</v>
      </c>
      <c r="B49" s="8">
        <v>1401</v>
      </c>
      <c r="Q49" s="8" t="s">
        <v>16</v>
      </c>
      <c r="R49" s="8">
        <v>26</v>
      </c>
      <c r="AD49" t="s">
        <v>88</v>
      </c>
      <c r="AE49">
        <v>1179</v>
      </c>
      <c r="AS49" t="s">
        <v>88</v>
      </c>
      <c r="AT49">
        <v>12</v>
      </c>
    </row>
    <row r="50" spans="1:46" x14ac:dyDescent="0.25">
      <c r="A50" s="7" t="s">
        <v>16</v>
      </c>
      <c r="B50" s="7">
        <v>1320</v>
      </c>
      <c r="Q50" s="7" t="s">
        <v>16</v>
      </c>
      <c r="R50" s="7">
        <v>21</v>
      </c>
      <c r="AD50" t="s">
        <v>88</v>
      </c>
      <c r="AE50">
        <v>2300</v>
      </c>
      <c r="AS50" t="s">
        <v>88</v>
      </c>
      <c r="AT50">
        <v>18</v>
      </c>
    </row>
    <row r="51" spans="1:46" x14ac:dyDescent="0.25">
      <c r="A51" s="8" t="s">
        <v>11</v>
      </c>
      <c r="B51" s="8">
        <v>1084</v>
      </c>
      <c r="Q51" s="8" t="s">
        <v>11</v>
      </c>
      <c r="R51" s="8">
        <v>28</v>
      </c>
      <c r="AD51" t="s">
        <v>88</v>
      </c>
      <c r="AE51">
        <v>814</v>
      </c>
      <c r="AS51" t="s">
        <v>88</v>
      </c>
      <c r="AT51">
        <v>20</v>
      </c>
    </row>
    <row r="52" spans="1:46" x14ac:dyDescent="0.25">
      <c r="A52" s="7" t="s">
        <v>11</v>
      </c>
      <c r="B52" s="7">
        <v>1252</v>
      </c>
      <c r="Q52" s="7" t="s">
        <v>11</v>
      </c>
      <c r="R52" s="7">
        <v>15</v>
      </c>
      <c r="AD52" t="s">
        <v>88</v>
      </c>
      <c r="AE52">
        <v>2490</v>
      </c>
      <c r="AS52" t="s">
        <v>88</v>
      </c>
      <c r="AT52">
        <v>23</v>
      </c>
    </row>
    <row r="53" spans="1:46" x14ac:dyDescent="0.25">
      <c r="A53" s="8" t="s">
        <v>16</v>
      </c>
      <c r="B53" s="8">
        <v>1473</v>
      </c>
      <c r="Q53" s="8" t="s">
        <v>16</v>
      </c>
      <c r="R53" s="8">
        <v>9</v>
      </c>
      <c r="AD53" t="s">
        <v>88</v>
      </c>
      <c r="AE53">
        <v>1949</v>
      </c>
      <c r="AS53" t="s">
        <v>88</v>
      </c>
      <c r="AT53">
        <v>28</v>
      </c>
    </row>
    <row r="54" spans="1:46" x14ac:dyDescent="0.25">
      <c r="A54" s="7" t="s">
        <v>16</v>
      </c>
      <c r="B54" s="7">
        <v>731</v>
      </c>
      <c r="Q54" s="7" t="s">
        <v>16</v>
      </c>
      <c r="R54" s="7">
        <v>7</v>
      </c>
      <c r="AD54" t="s">
        <v>88</v>
      </c>
      <c r="AE54">
        <v>2784</v>
      </c>
      <c r="AS54" t="s">
        <v>88</v>
      </c>
      <c r="AT54">
        <v>30</v>
      </c>
    </row>
    <row r="55" spans="1:46" x14ac:dyDescent="0.25">
      <c r="A55" s="8" t="s">
        <v>11</v>
      </c>
      <c r="B55" s="8">
        <v>1288</v>
      </c>
      <c r="Q55" s="8" t="s">
        <v>11</v>
      </c>
      <c r="R55" s="8">
        <v>8</v>
      </c>
      <c r="AD55" t="s">
        <v>88</v>
      </c>
      <c r="AE55">
        <v>1071</v>
      </c>
      <c r="AS55" t="s">
        <v>88</v>
      </c>
      <c r="AT55">
        <v>24</v>
      </c>
    </row>
    <row r="56" spans="1:46" x14ac:dyDescent="0.25">
      <c r="A56" s="7" t="s">
        <v>11</v>
      </c>
      <c r="B56" s="7">
        <v>2842</v>
      </c>
      <c r="Q56" s="7" t="s">
        <v>11</v>
      </c>
      <c r="R56" s="7">
        <v>24</v>
      </c>
      <c r="AD56" t="s">
        <v>88</v>
      </c>
      <c r="AE56">
        <v>1484</v>
      </c>
      <c r="AS56" t="s">
        <v>88</v>
      </c>
      <c r="AT56">
        <v>27</v>
      </c>
    </row>
    <row r="57" spans="1:46" x14ac:dyDescent="0.25">
      <c r="A57" s="8" t="s">
        <v>11</v>
      </c>
      <c r="B57" s="8">
        <v>504</v>
      </c>
      <c r="Q57" s="8" t="s">
        <v>11</v>
      </c>
      <c r="R57" s="8">
        <v>12</v>
      </c>
      <c r="AD57" t="s">
        <v>88</v>
      </c>
      <c r="AE57">
        <v>1253</v>
      </c>
      <c r="AS57" t="s">
        <v>88</v>
      </c>
      <c r="AT57">
        <v>25</v>
      </c>
    </row>
    <row r="58" spans="1:46" x14ac:dyDescent="0.25">
      <c r="A58" s="7" t="s">
        <v>16</v>
      </c>
      <c r="B58" s="7">
        <v>994</v>
      </c>
      <c r="Q58" s="7" t="s">
        <v>16</v>
      </c>
      <c r="R58" s="7">
        <v>13</v>
      </c>
      <c r="AD58" t="s">
        <v>88</v>
      </c>
      <c r="AE58">
        <v>1108</v>
      </c>
      <c r="AS58" t="s">
        <v>88</v>
      </c>
      <c r="AT58">
        <v>23</v>
      </c>
    </row>
    <row r="59" spans="1:46" x14ac:dyDescent="0.25">
      <c r="A59" s="8" t="s">
        <v>16</v>
      </c>
      <c r="B59" s="8">
        <v>2067</v>
      </c>
      <c r="Q59" s="8" t="s">
        <v>16</v>
      </c>
      <c r="R59" s="8">
        <v>22</v>
      </c>
      <c r="AD59" t="s">
        <v>88</v>
      </c>
      <c r="AE59">
        <v>707</v>
      </c>
      <c r="AS59" t="s">
        <v>88</v>
      </c>
      <c r="AT59">
        <v>10</v>
      </c>
    </row>
    <row r="60" spans="1:46" x14ac:dyDescent="0.25">
      <c r="A60" s="7" t="s">
        <v>16</v>
      </c>
      <c r="B60" s="7">
        <v>1937</v>
      </c>
      <c r="Q60" s="7" t="s">
        <v>16</v>
      </c>
      <c r="R60" s="7">
        <v>19</v>
      </c>
      <c r="AD60" t="s">
        <v>88</v>
      </c>
      <c r="AE60">
        <v>1146</v>
      </c>
      <c r="AS60" t="s">
        <v>88</v>
      </c>
      <c r="AT60">
        <v>20</v>
      </c>
    </row>
    <row r="61" spans="1:46" x14ac:dyDescent="0.25">
      <c r="A61" s="8" t="s">
        <v>11</v>
      </c>
      <c r="B61" s="8">
        <v>1695</v>
      </c>
      <c r="Q61" s="8" t="s">
        <v>11</v>
      </c>
      <c r="R61" s="8">
        <v>27</v>
      </c>
      <c r="AD61" t="s">
        <v>88</v>
      </c>
      <c r="AE61">
        <v>2736</v>
      </c>
      <c r="AS61" t="s">
        <v>88</v>
      </c>
      <c r="AT61">
        <v>29</v>
      </c>
    </row>
    <row r="62" spans="1:46" x14ac:dyDescent="0.25">
      <c r="A62" s="7" t="s">
        <v>11</v>
      </c>
      <c r="B62" s="7">
        <v>2493</v>
      </c>
      <c r="Q62" s="7" t="s">
        <v>11</v>
      </c>
      <c r="R62" s="7">
        <v>29</v>
      </c>
      <c r="AD62" t="s">
        <v>88</v>
      </c>
      <c r="AE62">
        <v>1676</v>
      </c>
      <c r="AS62" t="s">
        <v>88</v>
      </c>
      <c r="AT62">
        <v>22</v>
      </c>
    </row>
    <row r="63" spans="1:46" x14ac:dyDescent="0.25">
      <c r="A63" s="8" t="s">
        <v>16</v>
      </c>
      <c r="B63" s="8">
        <v>1168</v>
      </c>
      <c r="Q63" s="8" t="s">
        <v>16</v>
      </c>
      <c r="R63" s="8">
        <v>23</v>
      </c>
      <c r="AD63" t="s">
        <v>88</v>
      </c>
      <c r="AE63">
        <v>1465</v>
      </c>
      <c r="AS63" t="s">
        <v>88</v>
      </c>
      <c r="AT63">
        <v>25</v>
      </c>
    </row>
    <row r="64" spans="1:46" x14ac:dyDescent="0.25">
      <c r="A64" s="7" t="s">
        <v>11</v>
      </c>
      <c r="B64" s="7">
        <v>2472</v>
      </c>
      <c r="Q64" s="7" t="s">
        <v>11</v>
      </c>
      <c r="R64" s="7">
        <v>22</v>
      </c>
      <c r="AD64" t="s">
        <v>88</v>
      </c>
      <c r="AE64">
        <v>1542</v>
      </c>
      <c r="AS64" t="s">
        <v>88</v>
      </c>
      <c r="AT64">
        <v>14</v>
      </c>
    </row>
    <row r="65" spans="1:46" x14ac:dyDescent="0.25">
      <c r="A65" s="8" t="s">
        <v>16</v>
      </c>
      <c r="B65" s="8">
        <v>901</v>
      </c>
      <c r="Q65" s="8" t="s">
        <v>16</v>
      </c>
      <c r="R65" s="8">
        <v>6</v>
      </c>
      <c r="AD65" t="s">
        <v>88</v>
      </c>
      <c r="AE65">
        <v>2584</v>
      </c>
      <c r="AS65" t="s">
        <v>88</v>
      </c>
      <c r="AT65">
        <v>10</v>
      </c>
    </row>
    <row r="66" spans="1:46" x14ac:dyDescent="0.25">
      <c r="A66" s="7" t="s">
        <v>11</v>
      </c>
      <c r="B66" s="7">
        <v>1764</v>
      </c>
      <c r="Q66" s="7" t="s">
        <v>11</v>
      </c>
      <c r="R66" s="7">
        <v>27</v>
      </c>
      <c r="AD66" t="s">
        <v>88</v>
      </c>
      <c r="AE66">
        <v>1401</v>
      </c>
      <c r="AS66" t="s">
        <v>88</v>
      </c>
      <c r="AT66">
        <v>27</v>
      </c>
    </row>
    <row r="67" spans="1:46" x14ac:dyDescent="0.25">
      <c r="A67" s="8" t="s">
        <v>16</v>
      </c>
      <c r="B67" s="8">
        <v>1827</v>
      </c>
      <c r="Q67" s="8" t="s">
        <v>16</v>
      </c>
      <c r="R67" s="8">
        <v>12</v>
      </c>
      <c r="AD67" t="s">
        <v>88</v>
      </c>
      <c r="AE67">
        <v>1199</v>
      </c>
      <c r="AS67" t="s">
        <v>88</v>
      </c>
      <c r="AT67">
        <v>16</v>
      </c>
    </row>
    <row r="68" spans="1:46" x14ac:dyDescent="0.25">
      <c r="A68" s="7" t="s">
        <v>11</v>
      </c>
      <c r="B68" s="7">
        <v>558</v>
      </c>
      <c r="Q68" s="7" t="s">
        <v>11</v>
      </c>
      <c r="R68" s="7">
        <v>27</v>
      </c>
      <c r="AD68" t="s">
        <v>88</v>
      </c>
      <c r="AE68">
        <v>772</v>
      </c>
      <c r="AS68" t="s">
        <v>88</v>
      </c>
      <c r="AT68">
        <v>13</v>
      </c>
    </row>
    <row r="69" spans="1:46" x14ac:dyDescent="0.25">
      <c r="A69" s="8" t="s">
        <v>11</v>
      </c>
      <c r="B69" s="8">
        <v>692</v>
      </c>
      <c r="Q69" s="8" t="s">
        <v>11</v>
      </c>
      <c r="R69" s="8">
        <v>21</v>
      </c>
      <c r="AD69" t="s">
        <v>88</v>
      </c>
      <c r="AE69">
        <v>1076</v>
      </c>
      <c r="AS69" t="s">
        <v>88</v>
      </c>
      <c r="AT69">
        <v>27</v>
      </c>
    </row>
    <row r="70" spans="1:46" x14ac:dyDescent="0.25">
      <c r="A70" s="7" t="s">
        <v>11</v>
      </c>
      <c r="B70" s="7">
        <v>2335</v>
      </c>
      <c r="Q70" s="7" t="s">
        <v>11</v>
      </c>
      <c r="R70" s="7">
        <v>10</v>
      </c>
      <c r="AD70" t="s">
        <v>88</v>
      </c>
      <c r="AE70">
        <v>1150</v>
      </c>
      <c r="AS70" t="s">
        <v>88</v>
      </c>
      <c r="AT70">
        <v>17</v>
      </c>
    </row>
    <row r="71" spans="1:46" x14ac:dyDescent="0.25">
      <c r="A71" s="8" t="s">
        <v>16</v>
      </c>
      <c r="B71" s="8">
        <v>651</v>
      </c>
      <c r="Q71" s="8" t="s">
        <v>16</v>
      </c>
      <c r="R71" s="8">
        <v>8</v>
      </c>
      <c r="AD71" t="s">
        <v>88</v>
      </c>
      <c r="AE71">
        <v>1980</v>
      </c>
      <c r="AS71" t="s">
        <v>88</v>
      </c>
      <c r="AT71">
        <v>6</v>
      </c>
    </row>
    <row r="72" spans="1:46" x14ac:dyDescent="0.25">
      <c r="A72" s="7" t="s">
        <v>16</v>
      </c>
      <c r="B72" s="7">
        <v>2209</v>
      </c>
      <c r="Q72" s="7" t="s">
        <v>16</v>
      </c>
      <c r="R72" s="7">
        <v>12</v>
      </c>
      <c r="AD72" t="s">
        <v>88</v>
      </c>
      <c r="AE72">
        <v>1120</v>
      </c>
      <c r="AS72" t="s">
        <v>88</v>
      </c>
      <c r="AT72">
        <v>17</v>
      </c>
    </row>
    <row r="73" spans="1:46" x14ac:dyDescent="0.25">
      <c r="A73" s="8" t="s">
        <v>11</v>
      </c>
      <c r="B73" s="8">
        <v>943</v>
      </c>
      <c r="Q73" s="8" t="s">
        <v>11</v>
      </c>
      <c r="R73" s="8">
        <v>22</v>
      </c>
      <c r="AD73" t="s">
        <v>88</v>
      </c>
      <c r="AE73">
        <v>1889</v>
      </c>
      <c r="AS73" t="s">
        <v>88</v>
      </c>
      <c r="AT73">
        <v>29</v>
      </c>
    </row>
    <row r="74" spans="1:46" x14ac:dyDescent="0.25">
      <c r="A74" s="7" t="s">
        <v>11</v>
      </c>
      <c r="B74" s="7">
        <v>1105</v>
      </c>
      <c r="Q74" s="7" t="s">
        <v>11</v>
      </c>
      <c r="R74" s="7">
        <v>8</v>
      </c>
      <c r="AD74" t="s">
        <v>88</v>
      </c>
      <c r="AE74">
        <v>937</v>
      </c>
      <c r="AS74" t="s">
        <v>88</v>
      </c>
      <c r="AT74">
        <v>11</v>
      </c>
    </row>
    <row r="75" spans="1:46" x14ac:dyDescent="0.25">
      <c r="A75" s="8" t="s">
        <v>11</v>
      </c>
      <c r="B75" s="8">
        <v>925</v>
      </c>
      <c r="Q75" s="8" t="s">
        <v>11</v>
      </c>
      <c r="R75" s="8">
        <v>30</v>
      </c>
      <c r="AD75" t="s">
        <v>88</v>
      </c>
      <c r="AE75">
        <v>1278</v>
      </c>
      <c r="AS75" t="s">
        <v>88</v>
      </c>
      <c r="AT75">
        <v>22</v>
      </c>
    </row>
    <row r="76" spans="1:46" x14ac:dyDescent="0.25">
      <c r="A76" s="7" t="s">
        <v>11</v>
      </c>
      <c r="B76" s="7">
        <v>511</v>
      </c>
      <c r="Q76" s="7" t="s">
        <v>11</v>
      </c>
      <c r="R76" s="7">
        <v>21</v>
      </c>
      <c r="AD76" t="s">
        <v>88</v>
      </c>
      <c r="AE76">
        <v>1773</v>
      </c>
      <c r="AS76" t="s">
        <v>88</v>
      </c>
      <c r="AT76">
        <v>21</v>
      </c>
    </row>
    <row r="77" spans="1:46" x14ac:dyDescent="0.25">
      <c r="A77" s="8" t="s">
        <v>16</v>
      </c>
      <c r="B77" s="8">
        <v>1247</v>
      </c>
      <c r="Q77" s="8" t="s">
        <v>16</v>
      </c>
      <c r="R77" s="8">
        <v>12</v>
      </c>
      <c r="AD77" t="s">
        <v>88</v>
      </c>
      <c r="AE77">
        <v>2054</v>
      </c>
      <c r="AS77" t="s">
        <v>88</v>
      </c>
      <c r="AT77">
        <v>10</v>
      </c>
    </row>
    <row r="78" spans="1:46" x14ac:dyDescent="0.25">
      <c r="A78" s="7" t="s">
        <v>16</v>
      </c>
      <c r="B78" s="7">
        <v>1254</v>
      </c>
      <c r="Q78" s="7" t="s">
        <v>16</v>
      </c>
      <c r="R78" s="7">
        <v>21</v>
      </c>
      <c r="AD78" t="s">
        <v>88</v>
      </c>
      <c r="AE78">
        <v>1702</v>
      </c>
      <c r="AS78" t="s">
        <v>88</v>
      </c>
      <c r="AT78">
        <v>21</v>
      </c>
    </row>
    <row r="79" spans="1:46" x14ac:dyDescent="0.25">
      <c r="A79" s="8" t="s">
        <v>11</v>
      </c>
      <c r="B79" s="8">
        <v>1771</v>
      </c>
      <c r="Q79" s="8" t="s">
        <v>11</v>
      </c>
      <c r="R79" s="8">
        <v>6</v>
      </c>
      <c r="AD79" t="s">
        <v>88</v>
      </c>
      <c r="AE79">
        <v>1700</v>
      </c>
      <c r="AS79" t="s">
        <v>88</v>
      </c>
      <c r="AT79">
        <v>15</v>
      </c>
    </row>
    <row r="80" spans="1:46" x14ac:dyDescent="0.25">
      <c r="A80" s="7" t="s">
        <v>16</v>
      </c>
      <c r="B80" s="7">
        <v>787</v>
      </c>
      <c r="Q80" s="7" t="s">
        <v>16</v>
      </c>
      <c r="R80" s="7">
        <v>8</v>
      </c>
      <c r="AD80" t="s">
        <v>88</v>
      </c>
      <c r="AE80">
        <v>1969</v>
      </c>
      <c r="AS80" t="s">
        <v>88</v>
      </c>
      <c r="AT80">
        <v>10</v>
      </c>
    </row>
    <row r="81" spans="1:46" x14ac:dyDescent="0.25">
      <c r="A81" s="8" t="s">
        <v>16</v>
      </c>
      <c r="B81" s="8">
        <v>1501</v>
      </c>
      <c r="Q81" s="8" t="s">
        <v>16</v>
      </c>
      <c r="R81" s="8">
        <v>15</v>
      </c>
      <c r="AD81" t="s">
        <v>88</v>
      </c>
      <c r="AE81">
        <v>1909</v>
      </c>
      <c r="AS81" t="s">
        <v>88</v>
      </c>
      <c r="AT81">
        <v>10</v>
      </c>
    </row>
    <row r="82" spans="1:46" x14ac:dyDescent="0.25">
      <c r="A82" s="7" t="s">
        <v>16</v>
      </c>
      <c r="B82" s="7">
        <v>1653</v>
      </c>
      <c r="Q82" s="7" t="s">
        <v>16</v>
      </c>
      <c r="R82" s="7">
        <v>26</v>
      </c>
      <c r="AD82" t="s">
        <v>88</v>
      </c>
      <c r="AE82">
        <v>1709</v>
      </c>
      <c r="AS82" t="s">
        <v>88</v>
      </c>
      <c r="AT82">
        <v>23</v>
      </c>
    </row>
    <row r="83" spans="1:46" x14ac:dyDescent="0.25">
      <c r="A83" s="8" t="s">
        <v>11</v>
      </c>
      <c r="B83" s="8">
        <v>1202</v>
      </c>
      <c r="Q83" s="8" t="s">
        <v>11</v>
      </c>
      <c r="R83" s="8">
        <v>16</v>
      </c>
      <c r="AD83" t="s">
        <v>88</v>
      </c>
      <c r="AE83">
        <v>1865</v>
      </c>
      <c r="AS83" t="s">
        <v>88</v>
      </c>
      <c r="AT83">
        <v>5</v>
      </c>
    </row>
    <row r="84" spans="1:46" x14ac:dyDescent="0.25">
      <c r="A84" s="7" t="s">
        <v>16</v>
      </c>
      <c r="B84" s="7">
        <v>1230</v>
      </c>
      <c r="Q84" s="7" t="s">
        <v>16</v>
      </c>
      <c r="R84" s="7">
        <v>29</v>
      </c>
      <c r="AD84" t="s">
        <v>88</v>
      </c>
      <c r="AE84">
        <v>1330</v>
      </c>
      <c r="AS84" t="s">
        <v>88</v>
      </c>
      <c r="AT84">
        <v>29</v>
      </c>
    </row>
    <row r="85" spans="1:46" x14ac:dyDescent="0.25">
      <c r="A85" s="8" t="s">
        <v>16</v>
      </c>
      <c r="B85" s="8">
        <v>1019</v>
      </c>
      <c r="Q85" s="8" t="s">
        <v>16</v>
      </c>
      <c r="R85" s="8">
        <v>13</v>
      </c>
      <c r="AD85" t="s">
        <v>88</v>
      </c>
      <c r="AE85">
        <v>1440</v>
      </c>
      <c r="AS85" t="s">
        <v>88</v>
      </c>
      <c r="AT85">
        <v>25</v>
      </c>
    </row>
    <row r="86" spans="1:46" x14ac:dyDescent="0.25">
      <c r="A86" s="7" t="s">
        <v>16</v>
      </c>
      <c r="B86" s="7">
        <v>1725</v>
      </c>
      <c r="Q86" s="7" t="s">
        <v>16</v>
      </c>
      <c r="R86" s="7">
        <v>6</v>
      </c>
      <c r="AD86" t="s">
        <v>88</v>
      </c>
      <c r="AE86">
        <v>923</v>
      </c>
      <c r="AS86" t="s">
        <v>88</v>
      </c>
      <c r="AT86">
        <v>18</v>
      </c>
    </row>
    <row r="87" spans="1:46" x14ac:dyDescent="0.25">
      <c r="A87" s="8" t="s">
        <v>11</v>
      </c>
      <c r="B87" s="8">
        <v>860</v>
      </c>
      <c r="Q87" s="8" t="s">
        <v>11</v>
      </c>
      <c r="R87" s="8">
        <v>7</v>
      </c>
      <c r="AD87" t="s">
        <v>88</v>
      </c>
      <c r="AE87">
        <v>2266</v>
      </c>
      <c r="AS87" t="s">
        <v>88</v>
      </c>
      <c r="AT87">
        <v>25</v>
      </c>
    </row>
    <row r="88" spans="1:46" x14ac:dyDescent="0.25">
      <c r="A88" s="7" t="s">
        <v>11</v>
      </c>
      <c r="B88" s="7">
        <v>661</v>
      </c>
      <c r="Q88" s="7" t="s">
        <v>11</v>
      </c>
      <c r="R88" s="7">
        <v>5</v>
      </c>
      <c r="AD88" t="s">
        <v>88</v>
      </c>
      <c r="AE88">
        <v>2306</v>
      </c>
      <c r="AS88" t="s">
        <v>88</v>
      </c>
      <c r="AT88">
        <v>24</v>
      </c>
    </row>
    <row r="89" spans="1:46" x14ac:dyDescent="0.25">
      <c r="A89" s="8" t="s">
        <v>11</v>
      </c>
      <c r="B89" s="8">
        <v>2842</v>
      </c>
      <c r="Q89" s="8" t="s">
        <v>11</v>
      </c>
      <c r="R89" s="8">
        <v>23</v>
      </c>
      <c r="AD89" t="s">
        <v>88</v>
      </c>
      <c r="AE89">
        <v>1997</v>
      </c>
      <c r="AS89" t="s">
        <v>88</v>
      </c>
      <c r="AT89">
        <v>28</v>
      </c>
    </row>
    <row r="90" spans="1:46" x14ac:dyDescent="0.25">
      <c r="A90" s="7" t="s">
        <v>11</v>
      </c>
      <c r="B90" s="7">
        <v>2197</v>
      </c>
      <c r="Q90" s="7" t="s">
        <v>11</v>
      </c>
      <c r="R90" s="7">
        <v>21</v>
      </c>
      <c r="AD90" t="s">
        <v>88</v>
      </c>
      <c r="AE90">
        <v>1842</v>
      </c>
      <c r="AS90" t="s">
        <v>88</v>
      </c>
      <c r="AT90">
        <v>15</v>
      </c>
    </row>
    <row r="91" spans="1:46" x14ac:dyDescent="0.25">
      <c r="A91" s="8" t="s">
        <v>11</v>
      </c>
      <c r="B91" s="8">
        <v>1495</v>
      </c>
      <c r="Q91" s="8" t="s">
        <v>11</v>
      </c>
      <c r="R91" s="8">
        <v>23</v>
      </c>
      <c r="AD91" t="s">
        <v>88</v>
      </c>
      <c r="AE91">
        <v>998</v>
      </c>
      <c r="AS91" t="s">
        <v>88</v>
      </c>
      <c r="AT91">
        <v>6</v>
      </c>
    </row>
    <row r="92" spans="1:46" x14ac:dyDescent="0.25">
      <c r="A92" s="7" t="s">
        <v>16</v>
      </c>
      <c r="B92" s="7">
        <v>761</v>
      </c>
      <c r="Q92" s="7" t="s">
        <v>16</v>
      </c>
      <c r="R92" s="7">
        <v>13</v>
      </c>
      <c r="AD92" t="s">
        <v>88</v>
      </c>
      <c r="AE92">
        <v>875</v>
      </c>
      <c r="AS92" t="s">
        <v>88</v>
      </c>
      <c r="AT92">
        <v>5</v>
      </c>
    </row>
    <row r="93" spans="1:46" x14ac:dyDescent="0.25">
      <c r="A93" s="8" t="s">
        <v>16</v>
      </c>
      <c r="B93" s="8">
        <v>1840</v>
      </c>
      <c r="Q93" s="8" t="s">
        <v>16</v>
      </c>
      <c r="R93" s="8">
        <v>5</v>
      </c>
      <c r="AD93" t="s">
        <v>88</v>
      </c>
      <c r="AE93">
        <v>1996</v>
      </c>
      <c r="AS93" t="s">
        <v>88</v>
      </c>
      <c r="AT93">
        <v>30</v>
      </c>
    </row>
    <row r="94" spans="1:46" x14ac:dyDescent="0.25">
      <c r="A94" s="7" t="s">
        <v>16</v>
      </c>
      <c r="B94" s="7">
        <v>2942</v>
      </c>
      <c r="Q94" s="7" t="s">
        <v>16</v>
      </c>
      <c r="R94" s="7">
        <v>19</v>
      </c>
      <c r="AD94" t="s">
        <v>88</v>
      </c>
      <c r="AE94">
        <v>1503</v>
      </c>
      <c r="AS94" t="s">
        <v>88</v>
      </c>
      <c r="AT94">
        <v>29</v>
      </c>
    </row>
    <row r="95" spans="1:46" x14ac:dyDescent="0.25">
      <c r="A95" s="8" t="s">
        <v>11</v>
      </c>
      <c r="B95" s="8">
        <v>1513</v>
      </c>
      <c r="Q95" s="8" t="s">
        <v>11</v>
      </c>
      <c r="R95" s="8">
        <v>11</v>
      </c>
      <c r="AD95" t="s">
        <v>88</v>
      </c>
      <c r="AE95">
        <v>2261</v>
      </c>
      <c r="AS95" t="s">
        <v>88</v>
      </c>
      <c r="AT95">
        <v>26</v>
      </c>
    </row>
    <row r="96" spans="1:46" x14ac:dyDescent="0.25">
      <c r="A96" s="7" t="s">
        <v>11</v>
      </c>
      <c r="B96" s="7">
        <v>2902</v>
      </c>
      <c r="Q96" s="7" t="s">
        <v>11</v>
      </c>
      <c r="R96" s="7">
        <v>17</v>
      </c>
      <c r="AD96" t="s">
        <v>88</v>
      </c>
      <c r="AE96">
        <v>1732</v>
      </c>
      <c r="AS96" t="s">
        <v>88</v>
      </c>
      <c r="AT96">
        <v>12</v>
      </c>
    </row>
    <row r="97" spans="1:46" x14ac:dyDescent="0.25">
      <c r="A97" s="8" t="s">
        <v>16</v>
      </c>
      <c r="B97" s="8">
        <v>972</v>
      </c>
      <c r="Q97" s="8" t="s">
        <v>16</v>
      </c>
      <c r="R97" s="8">
        <v>30</v>
      </c>
      <c r="AD97" t="s">
        <v>88</v>
      </c>
      <c r="AE97">
        <v>976</v>
      </c>
      <c r="AS97" t="s">
        <v>88</v>
      </c>
      <c r="AT97">
        <v>25</v>
      </c>
    </row>
    <row r="98" spans="1:46" x14ac:dyDescent="0.25">
      <c r="A98" s="7" t="s">
        <v>11</v>
      </c>
      <c r="B98" s="7">
        <v>691</v>
      </c>
      <c r="Q98" s="7" t="s">
        <v>11</v>
      </c>
      <c r="R98" s="7">
        <v>22</v>
      </c>
      <c r="AD98" t="s">
        <v>88</v>
      </c>
      <c r="AE98">
        <v>2378</v>
      </c>
      <c r="AS98" t="s">
        <v>88</v>
      </c>
      <c r="AT98">
        <v>17</v>
      </c>
    </row>
    <row r="99" spans="1:46" x14ac:dyDescent="0.25">
      <c r="A99" s="8" t="s">
        <v>11</v>
      </c>
      <c r="B99" s="8">
        <v>2791</v>
      </c>
      <c r="Q99" s="8" t="s">
        <v>11</v>
      </c>
      <c r="R99" s="8">
        <v>25</v>
      </c>
      <c r="AD99" t="s">
        <v>88</v>
      </c>
      <c r="AE99">
        <v>1853</v>
      </c>
      <c r="AS99" t="s">
        <v>88</v>
      </c>
      <c r="AT99">
        <v>6</v>
      </c>
    </row>
    <row r="100" spans="1:46" x14ac:dyDescent="0.25">
      <c r="A100" s="7" t="s">
        <v>11</v>
      </c>
      <c r="B100" s="7">
        <v>1649</v>
      </c>
      <c r="Q100" s="7" t="s">
        <v>11</v>
      </c>
      <c r="R100" s="7">
        <v>27</v>
      </c>
      <c r="AD100" t="s">
        <v>88</v>
      </c>
      <c r="AE100">
        <v>865</v>
      </c>
      <c r="AS100" t="s">
        <v>88</v>
      </c>
      <c r="AT100">
        <v>23</v>
      </c>
    </row>
    <row r="101" spans="1:46" x14ac:dyDescent="0.25">
      <c r="A101" s="8" t="s">
        <v>16</v>
      </c>
      <c r="B101" s="8">
        <v>2194</v>
      </c>
      <c r="Q101" s="8" t="s">
        <v>16</v>
      </c>
      <c r="R101" s="8">
        <v>25</v>
      </c>
      <c r="AD101" t="s">
        <v>88</v>
      </c>
      <c r="AE101">
        <v>1826</v>
      </c>
      <c r="AS101" t="s">
        <v>88</v>
      </c>
      <c r="AT101">
        <v>8</v>
      </c>
    </row>
    <row r="102" spans="1:46" x14ac:dyDescent="0.25">
      <c r="A102" s="7" t="s">
        <v>11</v>
      </c>
      <c r="B102" s="7">
        <v>675</v>
      </c>
      <c r="Q102" s="7" t="s">
        <v>11</v>
      </c>
      <c r="R102" s="7">
        <v>18</v>
      </c>
      <c r="AD102" t="s">
        <v>86</v>
      </c>
      <c r="AE102">
        <v>856</v>
      </c>
      <c r="AS102" t="s">
        <v>86</v>
      </c>
      <c r="AT102">
        <v>13</v>
      </c>
    </row>
    <row r="103" spans="1:46" x14ac:dyDescent="0.25">
      <c r="A103" s="8" t="s">
        <v>11</v>
      </c>
      <c r="B103" s="8">
        <v>1179</v>
      </c>
      <c r="Q103" s="8" t="s">
        <v>11</v>
      </c>
      <c r="R103" s="8">
        <v>12</v>
      </c>
      <c r="AD103" t="s">
        <v>86</v>
      </c>
      <c r="AE103">
        <v>2124</v>
      </c>
      <c r="AS103" t="s">
        <v>86</v>
      </c>
      <c r="AT103">
        <v>18</v>
      </c>
    </row>
    <row r="104" spans="1:46" x14ac:dyDescent="0.25">
      <c r="A104" s="7" t="s">
        <v>11</v>
      </c>
      <c r="B104" s="7">
        <v>1349</v>
      </c>
      <c r="Q104" s="7" t="s">
        <v>11</v>
      </c>
      <c r="R104" s="7">
        <v>29</v>
      </c>
      <c r="AD104" t="s">
        <v>86</v>
      </c>
      <c r="AE104">
        <v>1684</v>
      </c>
      <c r="AS104" t="s">
        <v>86</v>
      </c>
      <c r="AT104">
        <v>30</v>
      </c>
    </row>
    <row r="105" spans="1:46" x14ac:dyDescent="0.25">
      <c r="A105" s="8" t="s">
        <v>11</v>
      </c>
      <c r="B105" s="8">
        <v>2300</v>
      </c>
      <c r="Q105" s="8" t="s">
        <v>11</v>
      </c>
      <c r="R105" s="8">
        <v>18</v>
      </c>
      <c r="AD105" t="s">
        <v>86</v>
      </c>
      <c r="AE105">
        <v>507</v>
      </c>
      <c r="AS105" t="s">
        <v>86</v>
      </c>
      <c r="AT105">
        <v>26</v>
      </c>
    </row>
    <row r="106" spans="1:46" x14ac:dyDescent="0.25">
      <c r="A106" s="7" t="s">
        <v>16</v>
      </c>
      <c r="B106" s="7">
        <v>2602</v>
      </c>
      <c r="Q106" s="7" t="s">
        <v>16</v>
      </c>
      <c r="R106" s="7">
        <v>7</v>
      </c>
      <c r="AD106" t="s">
        <v>86</v>
      </c>
      <c r="AE106">
        <v>1439</v>
      </c>
      <c r="AS106" t="s">
        <v>86</v>
      </c>
      <c r="AT106">
        <v>16</v>
      </c>
    </row>
    <row r="107" spans="1:46" x14ac:dyDescent="0.25">
      <c r="A107" s="8" t="s">
        <v>16</v>
      </c>
      <c r="B107" s="8">
        <v>814</v>
      </c>
      <c r="Q107" s="8" t="s">
        <v>16</v>
      </c>
      <c r="R107" s="8">
        <v>20</v>
      </c>
      <c r="AD107" t="s">
        <v>86</v>
      </c>
      <c r="AE107">
        <v>1512</v>
      </c>
      <c r="AS107" t="s">
        <v>86</v>
      </c>
      <c r="AT107">
        <v>14</v>
      </c>
    </row>
    <row r="108" spans="1:46" x14ac:dyDescent="0.25">
      <c r="A108" s="7" t="s">
        <v>16</v>
      </c>
      <c r="B108" s="7">
        <v>2490</v>
      </c>
      <c r="Q108" s="7" t="s">
        <v>16</v>
      </c>
      <c r="R108" s="7">
        <v>23</v>
      </c>
      <c r="AD108" t="s">
        <v>86</v>
      </c>
      <c r="AE108">
        <v>568</v>
      </c>
      <c r="AS108" t="s">
        <v>86</v>
      </c>
      <c r="AT108">
        <v>23</v>
      </c>
    </row>
    <row r="109" spans="1:46" x14ac:dyDescent="0.25">
      <c r="A109" s="8" t="s">
        <v>11</v>
      </c>
      <c r="B109" s="8">
        <v>1949</v>
      </c>
      <c r="Q109" s="8" t="s">
        <v>11</v>
      </c>
      <c r="R109" s="8">
        <v>28</v>
      </c>
      <c r="AD109" t="s">
        <v>86</v>
      </c>
      <c r="AE109">
        <v>2607</v>
      </c>
      <c r="AS109" t="s">
        <v>86</v>
      </c>
      <c r="AT109">
        <v>11</v>
      </c>
    </row>
    <row r="110" spans="1:46" x14ac:dyDescent="0.25">
      <c r="A110" s="7" t="s">
        <v>11</v>
      </c>
      <c r="B110" s="7">
        <v>1836</v>
      </c>
      <c r="Q110" s="7" t="s">
        <v>11</v>
      </c>
      <c r="R110" s="7">
        <v>7</v>
      </c>
      <c r="AD110" t="s">
        <v>86</v>
      </c>
      <c r="AE110">
        <v>757</v>
      </c>
      <c r="AS110" t="s">
        <v>86</v>
      </c>
      <c r="AT110">
        <v>19</v>
      </c>
    </row>
    <row r="111" spans="1:46" x14ac:dyDescent="0.25">
      <c r="A111" s="8" t="s">
        <v>11</v>
      </c>
      <c r="B111" s="8">
        <v>1117</v>
      </c>
      <c r="Q111" s="8" t="s">
        <v>11</v>
      </c>
      <c r="R111" s="8">
        <v>8</v>
      </c>
      <c r="AD111" t="s">
        <v>86</v>
      </c>
      <c r="AE111">
        <v>2263</v>
      </c>
      <c r="AS111" t="s">
        <v>86</v>
      </c>
      <c r="AT111">
        <v>7</v>
      </c>
    </row>
    <row r="112" spans="1:46" x14ac:dyDescent="0.25">
      <c r="A112" s="7" t="s">
        <v>11</v>
      </c>
      <c r="B112" s="7">
        <v>2784</v>
      </c>
      <c r="Q112" s="7" t="s">
        <v>11</v>
      </c>
      <c r="R112" s="7">
        <v>30</v>
      </c>
      <c r="AD112" t="s">
        <v>86</v>
      </c>
      <c r="AE112">
        <v>733</v>
      </c>
      <c r="AS112" t="s">
        <v>86</v>
      </c>
      <c r="AT112">
        <v>29</v>
      </c>
    </row>
    <row r="113" spans="1:46" x14ac:dyDescent="0.25">
      <c r="A113" s="8" t="s">
        <v>11</v>
      </c>
      <c r="B113" s="8">
        <v>1071</v>
      </c>
      <c r="Q113" s="8" t="s">
        <v>11</v>
      </c>
      <c r="R113" s="8">
        <v>24</v>
      </c>
      <c r="AD113" t="s">
        <v>86</v>
      </c>
      <c r="AE113">
        <v>1106</v>
      </c>
      <c r="AS113" t="s">
        <v>86</v>
      </c>
      <c r="AT113">
        <v>29</v>
      </c>
    </row>
    <row r="114" spans="1:46" x14ac:dyDescent="0.25">
      <c r="A114" s="7" t="s">
        <v>11</v>
      </c>
      <c r="B114" s="7">
        <v>1242</v>
      </c>
      <c r="Q114" s="7" t="s">
        <v>11</v>
      </c>
      <c r="R114" s="7">
        <v>28</v>
      </c>
      <c r="AD114" t="s">
        <v>86</v>
      </c>
      <c r="AE114">
        <v>1488</v>
      </c>
      <c r="AS114" t="s">
        <v>86</v>
      </c>
      <c r="AT114">
        <v>22</v>
      </c>
    </row>
    <row r="115" spans="1:46" x14ac:dyDescent="0.25">
      <c r="A115" s="8" t="s">
        <v>16</v>
      </c>
      <c r="B115" s="8">
        <v>1705</v>
      </c>
      <c r="Q115" s="8" t="s">
        <v>16</v>
      </c>
      <c r="R115" s="8">
        <v>19</v>
      </c>
      <c r="AD115" t="s">
        <v>86</v>
      </c>
      <c r="AE115">
        <v>2569</v>
      </c>
      <c r="AS115" t="s">
        <v>86</v>
      </c>
      <c r="AT115">
        <v>15</v>
      </c>
    </row>
    <row r="116" spans="1:46" x14ac:dyDescent="0.25">
      <c r="A116" s="7" t="s">
        <v>16</v>
      </c>
      <c r="B116" s="7">
        <v>2611</v>
      </c>
      <c r="Q116" s="7" t="s">
        <v>16</v>
      </c>
      <c r="R116" s="7">
        <v>9</v>
      </c>
      <c r="AD116" t="s">
        <v>86</v>
      </c>
      <c r="AE116">
        <v>2995</v>
      </c>
      <c r="AS116" t="s">
        <v>86</v>
      </c>
      <c r="AT116">
        <v>19</v>
      </c>
    </row>
    <row r="117" spans="1:46" x14ac:dyDescent="0.25">
      <c r="A117" s="8" t="s">
        <v>16</v>
      </c>
      <c r="B117" s="8">
        <v>1191</v>
      </c>
      <c r="Q117" s="8" t="s">
        <v>16</v>
      </c>
      <c r="R117" s="8">
        <v>28</v>
      </c>
      <c r="AD117" t="s">
        <v>86</v>
      </c>
      <c r="AE117">
        <v>2463</v>
      </c>
      <c r="AS117" t="s">
        <v>86</v>
      </c>
      <c r="AT117">
        <v>8</v>
      </c>
    </row>
    <row r="118" spans="1:46" x14ac:dyDescent="0.25">
      <c r="A118" s="7" t="s">
        <v>11</v>
      </c>
      <c r="B118" s="7">
        <v>1940</v>
      </c>
      <c r="Q118" s="7" t="s">
        <v>11</v>
      </c>
      <c r="R118" s="7">
        <v>28</v>
      </c>
      <c r="AD118" t="s">
        <v>86</v>
      </c>
      <c r="AE118">
        <v>2910</v>
      </c>
      <c r="AS118" t="s">
        <v>86</v>
      </c>
      <c r="AT118">
        <v>6</v>
      </c>
    </row>
    <row r="119" spans="1:46" x14ac:dyDescent="0.25">
      <c r="A119" s="8" t="s">
        <v>16</v>
      </c>
      <c r="B119" s="8">
        <v>1484</v>
      </c>
      <c r="Q119" s="8" t="s">
        <v>16</v>
      </c>
      <c r="R119" s="8">
        <v>27</v>
      </c>
      <c r="AD119" t="s">
        <v>86</v>
      </c>
      <c r="AE119">
        <v>1320</v>
      </c>
      <c r="AS119" t="s">
        <v>86</v>
      </c>
      <c r="AT119">
        <v>21</v>
      </c>
    </row>
    <row r="120" spans="1:46" x14ac:dyDescent="0.25">
      <c r="A120" s="7" t="s">
        <v>16</v>
      </c>
      <c r="B120" s="7">
        <v>1253</v>
      </c>
      <c r="Q120" s="7" t="s">
        <v>16</v>
      </c>
      <c r="R120" s="7">
        <v>25</v>
      </c>
      <c r="AD120" t="s">
        <v>86</v>
      </c>
      <c r="AE120">
        <v>1252</v>
      </c>
      <c r="AS120" t="s">
        <v>86</v>
      </c>
      <c r="AT120">
        <v>15</v>
      </c>
    </row>
    <row r="121" spans="1:46" x14ac:dyDescent="0.25">
      <c r="A121" s="8" t="s">
        <v>11</v>
      </c>
      <c r="B121" s="8">
        <v>2289</v>
      </c>
      <c r="Q121" s="8" t="s">
        <v>11</v>
      </c>
      <c r="R121" s="8">
        <v>26</v>
      </c>
      <c r="AD121" t="s">
        <v>86</v>
      </c>
      <c r="AE121">
        <v>1288</v>
      </c>
      <c r="AS121" t="s">
        <v>86</v>
      </c>
      <c r="AT121">
        <v>8</v>
      </c>
    </row>
    <row r="122" spans="1:46" x14ac:dyDescent="0.25">
      <c r="A122" s="7" t="s">
        <v>16</v>
      </c>
      <c r="B122" s="7">
        <v>1108</v>
      </c>
      <c r="Q122" s="7" t="s">
        <v>16</v>
      </c>
      <c r="R122" s="7">
        <v>23</v>
      </c>
      <c r="AD122" t="s">
        <v>86</v>
      </c>
      <c r="AE122">
        <v>2842</v>
      </c>
      <c r="AS122" t="s">
        <v>86</v>
      </c>
      <c r="AT122">
        <v>24</v>
      </c>
    </row>
    <row r="123" spans="1:46" x14ac:dyDescent="0.25">
      <c r="A123" s="8" t="s">
        <v>16</v>
      </c>
      <c r="B123" s="8">
        <v>2312</v>
      </c>
      <c r="Q123" s="8" t="s">
        <v>16</v>
      </c>
      <c r="R123" s="8">
        <v>25</v>
      </c>
      <c r="AD123" t="s">
        <v>86</v>
      </c>
      <c r="AE123">
        <v>994</v>
      </c>
      <c r="AS123" t="s">
        <v>86</v>
      </c>
      <c r="AT123">
        <v>13</v>
      </c>
    </row>
    <row r="124" spans="1:46" x14ac:dyDescent="0.25">
      <c r="A124" s="7" t="s">
        <v>16</v>
      </c>
      <c r="B124" s="7">
        <v>894</v>
      </c>
      <c r="Q124" s="7" t="s">
        <v>16</v>
      </c>
      <c r="R124" s="7">
        <v>13</v>
      </c>
      <c r="AD124" t="s">
        <v>86</v>
      </c>
      <c r="AE124">
        <v>2067</v>
      </c>
      <c r="AS124" t="s">
        <v>86</v>
      </c>
      <c r="AT124">
        <v>22</v>
      </c>
    </row>
    <row r="125" spans="1:46" x14ac:dyDescent="0.25">
      <c r="A125" s="8" t="s">
        <v>16</v>
      </c>
      <c r="B125" s="8">
        <v>707</v>
      </c>
      <c r="Q125" s="8" t="s">
        <v>16</v>
      </c>
      <c r="R125" s="8">
        <v>10</v>
      </c>
      <c r="AD125" t="s">
        <v>86</v>
      </c>
      <c r="AE125">
        <v>2472</v>
      </c>
      <c r="AS125" t="s">
        <v>86</v>
      </c>
      <c r="AT125">
        <v>22</v>
      </c>
    </row>
    <row r="126" spans="1:46" x14ac:dyDescent="0.25">
      <c r="A126" s="7" t="s">
        <v>16</v>
      </c>
      <c r="B126" s="7">
        <v>843</v>
      </c>
      <c r="Q126" s="7" t="s">
        <v>16</v>
      </c>
      <c r="R126" s="7">
        <v>7</v>
      </c>
      <c r="AD126" t="s">
        <v>86</v>
      </c>
      <c r="AE126">
        <v>1764</v>
      </c>
      <c r="AS126" t="s">
        <v>86</v>
      </c>
      <c r="AT126">
        <v>27</v>
      </c>
    </row>
    <row r="127" spans="1:46" x14ac:dyDescent="0.25">
      <c r="A127" s="8" t="s">
        <v>11</v>
      </c>
      <c r="B127" s="8">
        <v>1146</v>
      </c>
      <c r="Q127" s="8" t="s">
        <v>11</v>
      </c>
      <c r="R127" s="8">
        <v>20</v>
      </c>
      <c r="AD127" t="s">
        <v>86</v>
      </c>
      <c r="AE127">
        <v>1827</v>
      </c>
      <c r="AS127" t="s">
        <v>86</v>
      </c>
      <c r="AT127">
        <v>12</v>
      </c>
    </row>
    <row r="128" spans="1:46" x14ac:dyDescent="0.25">
      <c r="A128" s="7" t="s">
        <v>11</v>
      </c>
      <c r="B128" s="7">
        <v>2552</v>
      </c>
      <c r="Q128" s="7" t="s">
        <v>11</v>
      </c>
      <c r="R128" s="7">
        <v>28</v>
      </c>
      <c r="AD128" t="s">
        <v>86</v>
      </c>
      <c r="AE128">
        <v>692</v>
      </c>
      <c r="AS128" t="s">
        <v>86</v>
      </c>
      <c r="AT128">
        <v>21</v>
      </c>
    </row>
    <row r="129" spans="1:46" x14ac:dyDescent="0.25">
      <c r="A129" s="8" t="s">
        <v>16</v>
      </c>
      <c r="B129" s="8">
        <v>840</v>
      </c>
      <c r="Q129" s="8" t="s">
        <v>16</v>
      </c>
      <c r="R129" s="8">
        <v>29</v>
      </c>
      <c r="AD129" t="s">
        <v>86</v>
      </c>
      <c r="AE129">
        <v>651</v>
      </c>
      <c r="AS129" t="s">
        <v>86</v>
      </c>
      <c r="AT129">
        <v>8</v>
      </c>
    </row>
    <row r="130" spans="1:46" x14ac:dyDescent="0.25">
      <c r="A130" s="7" t="s">
        <v>16</v>
      </c>
      <c r="B130" s="7">
        <v>1153</v>
      </c>
      <c r="Q130" s="7" t="s">
        <v>16</v>
      </c>
      <c r="R130" s="7">
        <v>9</v>
      </c>
      <c r="AD130" t="s">
        <v>86</v>
      </c>
      <c r="AE130">
        <v>1105</v>
      </c>
      <c r="AS130" t="s">
        <v>86</v>
      </c>
      <c r="AT130">
        <v>8</v>
      </c>
    </row>
    <row r="131" spans="1:46" x14ac:dyDescent="0.25">
      <c r="A131" s="8" t="s">
        <v>16</v>
      </c>
      <c r="B131" s="8">
        <v>982</v>
      </c>
      <c r="Q131" s="8" t="s">
        <v>16</v>
      </c>
      <c r="R131" s="8">
        <v>25</v>
      </c>
      <c r="AD131" t="s">
        <v>86</v>
      </c>
      <c r="AE131">
        <v>1501</v>
      </c>
      <c r="AS131" t="s">
        <v>86</v>
      </c>
      <c r="AT131">
        <v>15</v>
      </c>
    </row>
    <row r="132" spans="1:46" x14ac:dyDescent="0.25">
      <c r="A132" s="7" t="s">
        <v>16</v>
      </c>
      <c r="B132" s="7">
        <v>2642</v>
      </c>
      <c r="Q132" s="7" t="s">
        <v>16</v>
      </c>
      <c r="R132" s="7">
        <v>21</v>
      </c>
      <c r="AD132" t="s">
        <v>86</v>
      </c>
      <c r="AE132">
        <v>1230</v>
      </c>
      <c r="AS132" t="s">
        <v>86</v>
      </c>
      <c r="AT132">
        <v>29</v>
      </c>
    </row>
    <row r="133" spans="1:46" x14ac:dyDescent="0.25">
      <c r="A133" s="8" t="s">
        <v>16</v>
      </c>
      <c r="B133" s="8">
        <v>2846</v>
      </c>
      <c r="Q133" s="8" t="s">
        <v>16</v>
      </c>
      <c r="R133" s="8">
        <v>28</v>
      </c>
      <c r="AD133" t="s">
        <v>86</v>
      </c>
      <c r="AE133">
        <v>1725</v>
      </c>
      <c r="AS133" t="s">
        <v>86</v>
      </c>
      <c r="AT133">
        <v>6</v>
      </c>
    </row>
    <row r="134" spans="1:46" x14ac:dyDescent="0.25">
      <c r="A134" s="7" t="s">
        <v>16</v>
      </c>
      <c r="B134" s="7">
        <v>725</v>
      </c>
      <c r="Q134" s="7" t="s">
        <v>16</v>
      </c>
      <c r="R134" s="7">
        <v>7</v>
      </c>
      <c r="AD134" t="s">
        <v>86</v>
      </c>
      <c r="AE134">
        <v>860</v>
      </c>
      <c r="AS134" t="s">
        <v>86</v>
      </c>
      <c r="AT134">
        <v>7</v>
      </c>
    </row>
    <row r="135" spans="1:46" x14ac:dyDescent="0.25">
      <c r="A135" s="8" t="s">
        <v>11</v>
      </c>
      <c r="B135" s="8">
        <v>1869</v>
      </c>
      <c r="Q135" s="8" t="s">
        <v>11</v>
      </c>
      <c r="R135" s="8">
        <v>23</v>
      </c>
      <c r="AD135" t="s">
        <v>86</v>
      </c>
      <c r="AE135">
        <v>1495</v>
      </c>
      <c r="AS135" t="s">
        <v>86</v>
      </c>
      <c r="AT135">
        <v>23</v>
      </c>
    </row>
    <row r="136" spans="1:46" x14ac:dyDescent="0.25">
      <c r="A136" s="7" t="s">
        <v>11</v>
      </c>
      <c r="B136" s="7">
        <v>2833</v>
      </c>
      <c r="Q136" s="7" t="s">
        <v>11</v>
      </c>
      <c r="R136" s="7">
        <v>21</v>
      </c>
      <c r="AD136" t="s">
        <v>86</v>
      </c>
      <c r="AE136">
        <v>2942</v>
      </c>
      <c r="AS136" t="s">
        <v>86</v>
      </c>
      <c r="AT136">
        <v>19</v>
      </c>
    </row>
    <row r="137" spans="1:46" x14ac:dyDescent="0.25">
      <c r="A137" s="8" t="s">
        <v>11</v>
      </c>
      <c r="B137" s="8">
        <v>896</v>
      </c>
      <c r="Q137" s="8" t="s">
        <v>11</v>
      </c>
      <c r="R137" s="8">
        <v>7</v>
      </c>
      <c r="AD137" t="s">
        <v>86</v>
      </c>
      <c r="AE137">
        <v>1513</v>
      </c>
      <c r="AS137" t="s">
        <v>86</v>
      </c>
      <c r="AT137">
        <v>11</v>
      </c>
    </row>
    <row r="138" spans="1:46" x14ac:dyDescent="0.25">
      <c r="A138" s="7" t="s">
        <v>11</v>
      </c>
      <c r="B138" s="7">
        <v>2736</v>
      </c>
      <c r="Q138" s="7" t="s">
        <v>11</v>
      </c>
      <c r="R138" s="7">
        <v>29</v>
      </c>
      <c r="AD138" t="s">
        <v>86</v>
      </c>
      <c r="AE138">
        <v>2902</v>
      </c>
      <c r="AS138" t="s">
        <v>86</v>
      </c>
      <c r="AT138">
        <v>17</v>
      </c>
    </row>
    <row r="139" spans="1:46" x14ac:dyDescent="0.25">
      <c r="A139" s="8" t="s">
        <v>16</v>
      </c>
      <c r="B139" s="8">
        <v>1676</v>
      </c>
      <c r="Q139" s="8" t="s">
        <v>16</v>
      </c>
      <c r="R139" s="8">
        <v>22</v>
      </c>
      <c r="AD139" t="s">
        <v>86</v>
      </c>
      <c r="AE139">
        <v>2602</v>
      </c>
      <c r="AS139" t="s">
        <v>86</v>
      </c>
      <c r="AT139">
        <v>7</v>
      </c>
    </row>
    <row r="140" spans="1:46" x14ac:dyDescent="0.25">
      <c r="A140" s="7" t="s">
        <v>11</v>
      </c>
      <c r="B140" s="7">
        <v>2742</v>
      </c>
      <c r="Q140" s="7" t="s">
        <v>11</v>
      </c>
      <c r="R140" s="7">
        <v>29</v>
      </c>
      <c r="AD140" t="s">
        <v>86</v>
      </c>
      <c r="AE140">
        <v>1836</v>
      </c>
      <c r="AS140" t="s">
        <v>86</v>
      </c>
      <c r="AT140">
        <v>7</v>
      </c>
    </row>
    <row r="141" spans="1:46" x14ac:dyDescent="0.25">
      <c r="A141" s="8" t="s">
        <v>11</v>
      </c>
      <c r="B141" s="8">
        <v>854</v>
      </c>
      <c r="Q141" s="8" t="s">
        <v>11</v>
      </c>
      <c r="R141" s="8">
        <v>18</v>
      </c>
      <c r="AD141" t="s">
        <v>86</v>
      </c>
      <c r="AE141">
        <v>1117</v>
      </c>
      <c r="AS141" t="s">
        <v>86</v>
      </c>
      <c r="AT141">
        <v>8</v>
      </c>
    </row>
    <row r="142" spans="1:46" x14ac:dyDescent="0.25">
      <c r="A142" s="7" t="s">
        <v>16</v>
      </c>
      <c r="B142" s="7">
        <v>1914</v>
      </c>
      <c r="Q142" s="7" t="s">
        <v>16</v>
      </c>
      <c r="R142" s="7">
        <v>5</v>
      </c>
      <c r="AD142" t="s">
        <v>86</v>
      </c>
      <c r="AE142">
        <v>1191</v>
      </c>
      <c r="AS142" t="s">
        <v>86</v>
      </c>
      <c r="AT142">
        <v>28</v>
      </c>
    </row>
    <row r="143" spans="1:46" x14ac:dyDescent="0.25">
      <c r="A143" s="8" t="s">
        <v>11</v>
      </c>
      <c r="B143" s="8">
        <v>1465</v>
      </c>
      <c r="Q143" s="8" t="s">
        <v>11</v>
      </c>
      <c r="R143" s="8">
        <v>25</v>
      </c>
      <c r="AD143" t="s">
        <v>86</v>
      </c>
      <c r="AE143">
        <v>843</v>
      </c>
      <c r="AS143" t="s">
        <v>86</v>
      </c>
      <c r="AT143">
        <v>7</v>
      </c>
    </row>
    <row r="144" spans="1:46" x14ac:dyDescent="0.25">
      <c r="A144" s="7" t="s">
        <v>16</v>
      </c>
      <c r="B144" s="7">
        <v>1542</v>
      </c>
      <c r="Q144" s="7" t="s">
        <v>16</v>
      </c>
      <c r="R144" s="7">
        <v>14</v>
      </c>
      <c r="AD144" t="s">
        <v>86</v>
      </c>
      <c r="AE144">
        <v>1153</v>
      </c>
      <c r="AS144" t="s">
        <v>86</v>
      </c>
      <c r="AT144">
        <v>9</v>
      </c>
    </row>
    <row r="145" spans="1:46" x14ac:dyDescent="0.25">
      <c r="A145" s="8" t="s">
        <v>16</v>
      </c>
      <c r="B145" s="8">
        <v>2584</v>
      </c>
      <c r="Q145" s="8" t="s">
        <v>16</v>
      </c>
      <c r="R145" s="8">
        <v>10</v>
      </c>
      <c r="AD145" t="s">
        <v>86</v>
      </c>
      <c r="AE145">
        <v>982</v>
      </c>
      <c r="AS145" t="s">
        <v>86</v>
      </c>
      <c r="AT145">
        <v>25</v>
      </c>
    </row>
    <row r="146" spans="1:46" x14ac:dyDescent="0.25">
      <c r="A146" s="7" t="s">
        <v>16</v>
      </c>
      <c r="B146" s="7">
        <v>2657</v>
      </c>
      <c r="Q146" s="7" t="s">
        <v>16</v>
      </c>
      <c r="R146" s="7">
        <v>29</v>
      </c>
      <c r="AD146" t="s">
        <v>86</v>
      </c>
      <c r="AE146">
        <v>1869</v>
      </c>
      <c r="AS146" t="s">
        <v>86</v>
      </c>
      <c r="AT146">
        <v>23</v>
      </c>
    </row>
    <row r="147" spans="1:46" x14ac:dyDescent="0.25">
      <c r="A147" s="8" t="s">
        <v>11</v>
      </c>
      <c r="B147" s="8">
        <v>1557</v>
      </c>
      <c r="Q147" s="8" t="s">
        <v>11</v>
      </c>
      <c r="R147" s="8">
        <v>9</v>
      </c>
      <c r="AD147" t="s">
        <v>86</v>
      </c>
      <c r="AE147">
        <v>854</v>
      </c>
      <c r="AS147" t="s">
        <v>86</v>
      </c>
      <c r="AT147">
        <v>18</v>
      </c>
    </row>
    <row r="148" spans="1:46" x14ac:dyDescent="0.25">
      <c r="A148" s="7" t="s">
        <v>11</v>
      </c>
      <c r="B148" s="7">
        <v>1401</v>
      </c>
      <c r="Q148" s="7" t="s">
        <v>11</v>
      </c>
      <c r="R148" s="7">
        <v>27</v>
      </c>
      <c r="AD148" t="s">
        <v>86</v>
      </c>
      <c r="AE148">
        <v>1914</v>
      </c>
      <c r="AS148" t="s">
        <v>86</v>
      </c>
      <c r="AT148">
        <v>5</v>
      </c>
    </row>
    <row r="149" spans="1:46" x14ac:dyDescent="0.25">
      <c r="A149" s="8" t="s">
        <v>16</v>
      </c>
      <c r="B149" s="8">
        <v>1199</v>
      </c>
      <c r="Q149" s="8" t="s">
        <v>16</v>
      </c>
      <c r="R149" s="8">
        <v>16</v>
      </c>
      <c r="AD149" t="s">
        <v>86</v>
      </c>
      <c r="AE149">
        <v>2657</v>
      </c>
      <c r="AS149" t="s">
        <v>86</v>
      </c>
      <c r="AT149">
        <v>29</v>
      </c>
    </row>
    <row r="150" spans="1:46" x14ac:dyDescent="0.25">
      <c r="A150" s="7" t="s">
        <v>11</v>
      </c>
      <c r="B150" s="7">
        <v>2247</v>
      </c>
      <c r="Q150" s="7" t="s">
        <v>11</v>
      </c>
      <c r="R150" s="7">
        <v>27</v>
      </c>
      <c r="AD150" t="s">
        <v>86</v>
      </c>
      <c r="AE150">
        <v>1557</v>
      </c>
      <c r="AS150" t="s">
        <v>86</v>
      </c>
      <c r="AT150">
        <v>9</v>
      </c>
    </row>
    <row r="151" spans="1:46" x14ac:dyDescent="0.25">
      <c r="A151" s="8" t="s">
        <v>16</v>
      </c>
      <c r="B151" s="8">
        <v>1760</v>
      </c>
      <c r="Q151" s="8" t="s">
        <v>16</v>
      </c>
      <c r="R151" s="8">
        <v>14</v>
      </c>
      <c r="AD151" t="s">
        <v>86</v>
      </c>
      <c r="AE151">
        <v>1760</v>
      </c>
      <c r="AS151" t="s">
        <v>86</v>
      </c>
      <c r="AT151">
        <v>14</v>
      </c>
    </row>
    <row r="152" spans="1:46" x14ac:dyDescent="0.25">
      <c r="A152" s="7" t="s">
        <v>11</v>
      </c>
      <c r="B152" s="7">
        <v>772</v>
      </c>
      <c r="Q152" s="7" t="s">
        <v>11</v>
      </c>
      <c r="R152" s="7">
        <v>13</v>
      </c>
      <c r="AD152" t="s">
        <v>86</v>
      </c>
      <c r="AE152">
        <v>1627</v>
      </c>
      <c r="AS152" t="s">
        <v>86</v>
      </c>
      <c r="AT152">
        <v>26</v>
      </c>
    </row>
    <row r="153" spans="1:46" x14ac:dyDescent="0.25">
      <c r="A153" s="8" t="s">
        <v>16</v>
      </c>
      <c r="B153" s="8">
        <v>979</v>
      </c>
      <c r="Q153" s="8" t="s">
        <v>16</v>
      </c>
      <c r="R153" s="8">
        <v>9</v>
      </c>
      <c r="AD153" t="s">
        <v>86</v>
      </c>
      <c r="AE153">
        <v>1196</v>
      </c>
      <c r="AS153" t="s">
        <v>86</v>
      </c>
      <c r="AT153">
        <v>30</v>
      </c>
    </row>
    <row r="154" spans="1:46" x14ac:dyDescent="0.25">
      <c r="A154" s="7" t="s">
        <v>11</v>
      </c>
      <c r="B154" s="7">
        <v>1401</v>
      </c>
      <c r="Q154" s="7" t="s">
        <v>11</v>
      </c>
      <c r="R154" s="7">
        <v>24</v>
      </c>
      <c r="AD154" t="s">
        <v>86</v>
      </c>
      <c r="AE154">
        <v>1148</v>
      </c>
      <c r="AS154" t="s">
        <v>86</v>
      </c>
      <c r="AT154">
        <v>11</v>
      </c>
    </row>
    <row r="155" spans="1:46" x14ac:dyDescent="0.25">
      <c r="A155" s="8" t="s">
        <v>16</v>
      </c>
      <c r="B155" s="8">
        <v>1076</v>
      </c>
      <c r="Q155" s="8" t="s">
        <v>16</v>
      </c>
      <c r="R155" s="8">
        <v>27</v>
      </c>
      <c r="AD155" t="s">
        <v>86</v>
      </c>
      <c r="AE155">
        <v>853</v>
      </c>
      <c r="AS155" t="s">
        <v>86</v>
      </c>
      <c r="AT155">
        <v>5</v>
      </c>
    </row>
    <row r="156" spans="1:46" x14ac:dyDescent="0.25">
      <c r="A156" s="7" t="s">
        <v>11</v>
      </c>
      <c r="B156" s="7">
        <v>2599</v>
      </c>
      <c r="Q156" s="7" t="s">
        <v>11</v>
      </c>
      <c r="R156" s="7">
        <v>13</v>
      </c>
      <c r="AD156" t="s">
        <v>86</v>
      </c>
      <c r="AE156">
        <v>2223</v>
      </c>
      <c r="AS156" t="s">
        <v>86</v>
      </c>
      <c r="AT156">
        <v>11</v>
      </c>
    </row>
    <row r="157" spans="1:46" x14ac:dyDescent="0.25">
      <c r="A157" s="8" t="s">
        <v>11</v>
      </c>
      <c r="B157" s="8">
        <v>1627</v>
      </c>
      <c r="Q157" s="8" t="s">
        <v>11</v>
      </c>
      <c r="R157" s="8">
        <v>26</v>
      </c>
      <c r="AD157" t="s">
        <v>86</v>
      </c>
      <c r="AE157">
        <v>1031</v>
      </c>
      <c r="AS157" t="s">
        <v>86</v>
      </c>
      <c r="AT157">
        <v>7</v>
      </c>
    </row>
    <row r="158" spans="1:46" x14ac:dyDescent="0.25">
      <c r="A158" s="7" t="s">
        <v>11</v>
      </c>
      <c r="B158" s="7">
        <v>1196</v>
      </c>
      <c r="Q158" s="7" t="s">
        <v>11</v>
      </c>
      <c r="R158" s="7">
        <v>30</v>
      </c>
      <c r="AD158" t="s">
        <v>86</v>
      </c>
      <c r="AE158">
        <v>1114</v>
      </c>
      <c r="AS158" t="s">
        <v>86</v>
      </c>
      <c r="AT158">
        <v>9</v>
      </c>
    </row>
    <row r="159" spans="1:46" x14ac:dyDescent="0.25">
      <c r="A159" s="8" t="s">
        <v>11</v>
      </c>
      <c r="B159" s="8">
        <v>1150</v>
      </c>
      <c r="Q159" s="8" t="s">
        <v>11</v>
      </c>
      <c r="R159" s="8">
        <v>17</v>
      </c>
      <c r="AD159" t="s">
        <v>86</v>
      </c>
      <c r="AE159">
        <v>2450</v>
      </c>
      <c r="AS159" t="s">
        <v>86</v>
      </c>
      <c r="AT159">
        <v>12</v>
      </c>
    </row>
    <row r="160" spans="1:46" x14ac:dyDescent="0.25">
      <c r="A160" s="7" t="s">
        <v>11</v>
      </c>
      <c r="B160" s="7">
        <v>1483</v>
      </c>
      <c r="Q160" s="7" t="s">
        <v>11</v>
      </c>
      <c r="R160" s="7">
        <v>22</v>
      </c>
      <c r="AD160" t="s">
        <v>86</v>
      </c>
      <c r="AE160">
        <v>576</v>
      </c>
      <c r="AS160" t="s">
        <v>86</v>
      </c>
      <c r="AT160">
        <v>12</v>
      </c>
    </row>
    <row r="161" spans="1:46" x14ac:dyDescent="0.25">
      <c r="A161" s="8" t="s">
        <v>16</v>
      </c>
      <c r="B161" s="8">
        <v>1090</v>
      </c>
      <c r="Q161" s="8" t="s">
        <v>16</v>
      </c>
      <c r="R161" s="8">
        <v>11</v>
      </c>
      <c r="AD161" t="s">
        <v>86</v>
      </c>
      <c r="AE161">
        <v>915</v>
      </c>
      <c r="AS161" t="s">
        <v>86</v>
      </c>
      <c r="AT161">
        <v>17</v>
      </c>
    </row>
    <row r="162" spans="1:46" x14ac:dyDescent="0.25">
      <c r="A162" s="7" t="s">
        <v>16</v>
      </c>
      <c r="B162" s="7">
        <v>1148</v>
      </c>
      <c r="Q162" s="7" t="s">
        <v>16</v>
      </c>
      <c r="R162" s="7">
        <v>11</v>
      </c>
      <c r="AD162" t="s">
        <v>86</v>
      </c>
      <c r="AE162">
        <v>882</v>
      </c>
      <c r="AS162" t="s">
        <v>86</v>
      </c>
      <c r="AT162">
        <v>30</v>
      </c>
    </row>
    <row r="163" spans="1:46" x14ac:dyDescent="0.25">
      <c r="A163" s="8" t="s">
        <v>16</v>
      </c>
      <c r="B163" s="8">
        <v>1980</v>
      </c>
      <c r="Q163" s="8" t="s">
        <v>16</v>
      </c>
      <c r="R163" s="8">
        <v>6</v>
      </c>
      <c r="AD163" t="s">
        <v>86</v>
      </c>
      <c r="AE163">
        <v>2193</v>
      </c>
      <c r="AS163" t="s">
        <v>86</v>
      </c>
      <c r="AT163">
        <v>17</v>
      </c>
    </row>
    <row r="164" spans="1:46" x14ac:dyDescent="0.25">
      <c r="A164" s="7" t="s">
        <v>16</v>
      </c>
      <c r="B164" s="7">
        <v>853</v>
      </c>
      <c r="Q164" s="7" t="s">
        <v>16</v>
      </c>
      <c r="R164" s="7">
        <v>5</v>
      </c>
      <c r="AD164" t="s">
        <v>86</v>
      </c>
      <c r="AE164">
        <v>2314</v>
      </c>
      <c r="AS164" t="s">
        <v>86</v>
      </c>
      <c r="AT164">
        <v>8</v>
      </c>
    </row>
    <row r="165" spans="1:46" x14ac:dyDescent="0.25">
      <c r="A165" s="8" t="s">
        <v>16</v>
      </c>
      <c r="B165" s="8">
        <v>1174</v>
      </c>
      <c r="Q165" s="8" t="s">
        <v>16</v>
      </c>
      <c r="R165" s="8">
        <v>28</v>
      </c>
      <c r="AD165" t="s">
        <v>86</v>
      </c>
      <c r="AE165">
        <v>2383</v>
      </c>
      <c r="AS165" t="s">
        <v>86</v>
      </c>
      <c r="AT165">
        <v>10</v>
      </c>
    </row>
    <row r="166" spans="1:46" x14ac:dyDescent="0.25">
      <c r="A166" s="7" t="s">
        <v>16</v>
      </c>
      <c r="B166" s="7">
        <v>2223</v>
      </c>
      <c r="Q166" s="7" t="s">
        <v>16</v>
      </c>
      <c r="R166" s="7">
        <v>11</v>
      </c>
      <c r="AD166" t="s">
        <v>86</v>
      </c>
      <c r="AE166">
        <v>2610</v>
      </c>
      <c r="AS166" t="s">
        <v>86</v>
      </c>
      <c r="AT166">
        <v>6</v>
      </c>
    </row>
    <row r="167" spans="1:46" x14ac:dyDescent="0.25">
      <c r="A167" s="8" t="s">
        <v>11</v>
      </c>
      <c r="B167" s="8">
        <v>2553</v>
      </c>
      <c r="Q167" s="8" t="s">
        <v>11</v>
      </c>
      <c r="R167" s="8">
        <v>13</v>
      </c>
      <c r="AD167" t="s">
        <v>86</v>
      </c>
      <c r="AE167">
        <v>1306</v>
      </c>
      <c r="AS167" t="s">
        <v>86</v>
      </c>
      <c r="AT167">
        <v>26</v>
      </c>
    </row>
    <row r="168" spans="1:46" x14ac:dyDescent="0.25">
      <c r="A168" s="7" t="s">
        <v>11</v>
      </c>
      <c r="B168" s="7">
        <v>1120</v>
      </c>
      <c r="Q168" s="7" t="s">
        <v>11</v>
      </c>
      <c r="R168" s="7">
        <v>17</v>
      </c>
      <c r="AD168" t="s">
        <v>86</v>
      </c>
      <c r="AE168">
        <v>1638</v>
      </c>
      <c r="AS168" t="s">
        <v>86</v>
      </c>
      <c r="AT168">
        <v>19</v>
      </c>
    </row>
    <row r="169" spans="1:46" x14ac:dyDescent="0.25">
      <c r="A169" s="8" t="s">
        <v>16</v>
      </c>
      <c r="B169" s="8">
        <v>1517</v>
      </c>
      <c r="Q169" s="8" t="s">
        <v>16</v>
      </c>
      <c r="R169" s="8">
        <v>22</v>
      </c>
      <c r="AD169" t="s">
        <v>86</v>
      </c>
      <c r="AE169">
        <v>2763</v>
      </c>
      <c r="AS169" t="s">
        <v>86</v>
      </c>
      <c r="AT169">
        <v>19</v>
      </c>
    </row>
    <row r="170" spans="1:46" x14ac:dyDescent="0.25">
      <c r="A170" s="7" t="s">
        <v>16</v>
      </c>
      <c r="B170" s="7">
        <v>2563</v>
      </c>
      <c r="Q170" s="7" t="s">
        <v>16</v>
      </c>
      <c r="R170" s="7">
        <v>16</v>
      </c>
      <c r="AD170" t="s">
        <v>86</v>
      </c>
      <c r="AE170">
        <v>1000</v>
      </c>
      <c r="AS170" t="s">
        <v>86</v>
      </c>
      <c r="AT170">
        <v>30</v>
      </c>
    </row>
    <row r="171" spans="1:46" x14ac:dyDescent="0.25">
      <c r="A171" s="8" t="s">
        <v>11</v>
      </c>
      <c r="B171" s="8">
        <v>1889</v>
      </c>
      <c r="Q171" s="8" t="s">
        <v>11</v>
      </c>
      <c r="R171" s="8">
        <v>29</v>
      </c>
      <c r="AD171" t="s">
        <v>86</v>
      </c>
      <c r="AE171">
        <v>1624</v>
      </c>
      <c r="AS171" t="s">
        <v>86</v>
      </c>
      <c r="AT171">
        <v>21</v>
      </c>
    </row>
    <row r="172" spans="1:46" x14ac:dyDescent="0.25">
      <c r="A172" s="7" t="s">
        <v>16</v>
      </c>
      <c r="B172" s="7">
        <v>675</v>
      </c>
      <c r="Q172" s="7" t="s">
        <v>16</v>
      </c>
      <c r="R172" s="7">
        <v>14</v>
      </c>
      <c r="AD172" t="s">
        <v>86</v>
      </c>
      <c r="AE172">
        <v>2040</v>
      </c>
      <c r="AS172" t="s">
        <v>86</v>
      </c>
      <c r="AT172">
        <v>7</v>
      </c>
    </row>
    <row r="173" spans="1:46" x14ac:dyDescent="0.25">
      <c r="A173" s="8" t="s">
        <v>16</v>
      </c>
      <c r="B173" s="8">
        <v>957</v>
      </c>
      <c r="Q173" s="8" t="s">
        <v>16</v>
      </c>
      <c r="R173" s="8">
        <v>17</v>
      </c>
      <c r="AD173" t="s">
        <v>86</v>
      </c>
      <c r="AE173">
        <v>2417</v>
      </c>
      <c r="AS173" t="s">
        <v>86</v>
      </c>
      <c r="AT173">
        <v>18</v>
      </c>
    </row>
    <row r="174" spans="1:46" x14ac:dyDescent="0.25">
      <c r="A174" s="7" t="s">
        <v>16</v>
      </c>
      <c r="B174" s="7">
        <v>937</v>
      </c>
      <c r="Q174" s="7" t="s">
        <v>16</v>
      </c>
      <c r="R174" s="7">
        <v>11</v>
      </c>
      <c r="AD174" t="s">
        <v>86</v>
      </c>
      <c r="AE174">
        <v>2485</v>
      </c>
      <c r="AS174" t="s">
        <v>86</v>
      </c>
      <c r="AT174">
        <v>16</v>
      </c>
    </row>
    <row r="175" spans="1:46" x14ac:dyDescent="0.25">
      <c r="A175" s="8" t="s">
        <v>16</v>
      </c>
      <c r="B175" s="8">
        <v>1772</v>
      </c>
      <c r="Q175" s="8" t="s">
        <v>16</v>
      </c>
      <c r="R175" s="8">
        <v>25</v>
      </c>
      <c r="AD175" t="s">
        <v>86</v>
      </c>
      <c r="AE175">
        <v>2186</v>
      </c>
      <c r="AS175" t="s">
        <v>86</v>
      </c>
      <c r="AT175">
        <v>29</v>
      </c>
    </row>
    <row r="176" spans="1:46" x14ac:dyDescent="0.25">
      <c r="A176" s="7" t="s">
        <v>11</v>
      </c>
      <c r="B176" s="7">
        <v>1031</v>
      </c>
      <c r="Q176" s="7" t="s">
        <v>11</v>
      </c>
      <c r="R176" s="7">
        <v>7</v>
      </c>
      <c r="AD176" t="s">
        <v>87</v>
      </c>
      <c r="AE176">
        <v>2738</v>
      </c>
      <c r="AS176" t="s">
        <v>87</v>
      </c>
      <c r="AT176">
        <v>16</v>
      </c>
    </row>
    <row r="177" spans="1:46" x14ac:dyDescent="0.25">
      <c r="A177" s="8" t="s">
        <v>11</v>
      </c>
      <c r="B177" s="8">
        <v>1278</v>
      </c>
      <c r="Q177" s="8" t="s">
        <v>11</v>
      </c>
      <c r="R177" s="8">
        <v>22</v>
      </c>
      <c r="AD177" t="s">
        <v>87</v>
      </c>
      <c r="AE177">
        <v>2865</v>
      </c>
      <c r="AS177" t="s">
        <v>87</v>
      </c>
      <c r="AT177">
        <v>27</v>
      </c>
    </row>
    <row r="178" spans="1:46" x14ac:dyDescent="0.25">
      <c r="A178" s="7" t="s">
        <v>16</v>
      </c>
      <c r="B178" s="7">
        <v>1114</v>
      </c>
      <c r="Q178" s="7" t="s">
        <v>16</v>
      </c>
      <c r="R178" s="7">
        <v>9</v>
      </c>
      <c r="AD178" t="s">
        <v>87</v>
      </c>
      <c r="AE178">
        <v>509</v>
      </c>
      <c r="AS178" t="s">
        <v>87</v>
      </c>
      <c r="AT178">
        <v>11</v>
      </c>
    </row>
    <row r="179" spans="1:46" x14ac:dyDescent="0.25">
      <c r="A179" s="8" t="s">
        <v>16</v>
      </c>
      <c r="B179" s="8">
        <v>1773</v>
      </c>
      <c r="Q179" s="8" t="s">
        <v>16</v>
      </c>
      <c r="R179" s="8">
        <v>21</v>
      </c>
      <c r="AD179" t="s">
        <v>87</v>
      </c>
      <c r="AE179">
        <v>1339</v>
      </c>
      <c r="AS179" t="s">
        <v>87</v>
      </c>
      <c r="AT179">
        <v>9</v>
      </c>
    </row>
    <row r="180" spans="1:46" x14ac:dyDescent="0.25">
      <c r="A180" s="7" t="s">
        <v>11</v>
      </c>
      <c r="B180" s="7">
        <v>2450</v>
      </c>
      <c r="Q180" s="7" t="s">
        <v>11</v>
      </c>
      <c r="R180" s="7">
        <v>12</v>
      </c>
      <c r="AD180" t="s">
        <v>87</v>
      </c>
      <c r="AE180">
        <v>2216</v>
      </c>
      <c r="AS180" t="s">
        <v>87</v>
      </c>
      <c r="AT180">
        <v>17</v>
      </c>
    </row>
    <row r="181" spans="1:46" x14ac:dyDescent="0.25">
      <c r="A181" s="8" t="s">
        <v>16</v>
      </c>
      <c r="B181" s="8">
        <v>1884</v>
      </c>
      <c r="Q181" s="8" t="s">
        <v>16</v>
      </c>
      <c r="R181" s="8">
        <v>23</v>
      </c>
      <c r="AD181" t="s">
        <v>87</v>
      </c>
      <c r="AE181">
        <v>1715</v>
      </c>
      <c r="AS181" t="s">
        <v>87</v>
      </c>
      <c r="AT181">
        <v>9</v>
      </c>
    </row>
    <row r="182" spans="1:46" x14ac:dyDescent="0.25">
      <c r="A182" s="7" t="s">
        <v>11</v>
      </c>
      <c r="B182" s="7">
        <v>576</v>
      </c>
      <c r="Q182" s="7" t="s">
        <v>11</v>
      </c>
      <c r="R182" s="7">
        <v>12</v>
      </c>
      <c r="AD182" t="s">
        <v>87</v>
      </c>
      <c r="AE182">
        <v>2578</v>
      </c>
      <c r="AS182" t="s">
        <v>87</v>
      </c>
      <c r="AT182">
        <v>18</v>
      </c>
    </row>
    <row r="183" spans="1:46" x14ac:dyDescent="0.25">
      <c r="A183" s="8" t="s">
        <v>16</v>
      </c>
      <c r="B183" s="8">
        <v>2054</v>
      </c>
      <c r="Q183" s="8" t="s">
        <v>16</v>
      </c>
      <c r="R183" s="8">
        <v>10</v>
      </c>
      <c r="AD183" t="s">
        <v>87</v>
      </c>
      <c r="AE183">
        <v>1651</v>
      </c>
      <c r="AS183" t="s">
        <v>87</v>
      </c>
      <c r="AT183">
        <v>18</v>
      </c>
    </row>
    <row r="184" spans="1:46" x14ac:dyDescent="0.25">
      <c r="A184" s="7" t="s">
        <v>11</v>
      </c>
      <c r="B184" s="7">
        <v>2304</v>
      </c>
      <c r="Q184" s="7" t="s">
        <v>11</v>
      </c>
      <c r="R184" s="7">
        <v>18</v>
      </c>
      <c r="AD184" t="s">
        <v>87</v>
      </c>
      <c r="AE184">
        <v>1749</v>
      </c>
      <c r="AS184" t="s">
        <v>87</v>
      </c>
      <c r="AT184">
        <v>28</v>
      </c>
    </row>
    <row r="185" spans="1:46" x14ac:dyDescent="0.25">
      <c r="A185" s="8" t="s">
        <v>16</v>
      </c>
      <c r="B185" s="8">
        <v>1630</v>
      </c>
      <c r="Q185" s="8" t="s">
        <v>16</v>
      </c>
      <c r="R185" s="8">
        <v>29</v>
      </c>
      <c r="AD185" t="s">
        <v>87</v>
      </c>
      <c r="AE185">
        <v>2602</v>
      </c>
      <c r="AS185" t="s">
        <v>87</v>
      </c>
      <c r="AT185">
        <v>28</v>
      </c>
    </row>
    <row r="186" spans="1:46" x14ac:dyDescent="0.25">
      <c r="A186" s="7" t="s">
        <v>11</v>
      </c>
      <c r="B186" s="7">
        <v>1702</v>
      </c>
      <c r="Q186" s="7" t="s">
        <v>11</v>
      </c>
      <c r="R186" s="7">
        <v>21</v>
      </c>
      <c r="AD186" t="s">
        <v>87</v>
      </c>
      <c r="AE186">
        <v>1455</v>
      </c>
      <c r="AS186" t="s">
        <v>87</v>
      </c>
      <c r="AT186">
        <v>27</v>
      </c>
    </row>
    <row r="187" spans="1:46" x14ac:dyDescent="0.25">
      <c r="A187" s="8" t="s">
        <v>11</v>
      </c>
      <c r="B187" s="8">
        <v>1700</v>
      </c>
      <c r="Q187" s="8" t="s">
        <v>11</v>
      </c>
      <c r="R187" s="8">
        <v>15</v>
      </c>
      <c r="AD187" t="s">
        <v>87</v>
      </c>
      <c r="AE187">
        <v>720</v>
      </c>
      <c r="AS187" t="s">
        <v>87</v>
      </c>
      <c r="AT187">
        <v>6</v>
      </c>
    </row>
    <row r="188" spans="1:46" x14ac:dyDescent="0.25">
      <c r="A188" s="7" t="s">
        <v>11</v>
      </c>
      <c r="B188" s="7">
        <v>1016</v>
      </c>
      <c r="Q188" s="7" t="s">
        <v>11</v>
      </c>
      <c r="R188" s="7">
        <v>7</v>
      </c>
      <c r="AD188" t="s">
        <v>87</v>
      </c>
      <c r="AE188">
        <v>2224</v>
      </c>
      <c r="AS188" t="s">
        <v>87</v>
      </c>
      <c r="AT188">
        <v>16</v>
      </c>
    </row>
    <row r="189" spans="1:46" x14ac:dyDescent="0.25">
      <c r="A189" s="8" t="s">
        <v>11</v>
      </c>
      <c r="B189" s="8">
        <v>1042</v>
      </c>
      <c r="Q189" s="8" t="s">
        <v>11</v>
      </c>
      <c r="R189" s="8">
        <v>20</v>
      </c>
      <c r="AD189" t="s">
        <v>87</v>
      </c>
      <c r="AE189">
        <v>2779</v>
      </c>
      <c r="AS189" t="s">
        <v>87</v>
      </c>
      <c r="AT189">
        <v>22</v>
      </c>
    </row>
    <row r="190" spans="1:46" x14ac:dyDescent="0.25">
      <c r="A190" s="7" t="s">
        <v>11</v>
      </c>
      <c r="B190" s="7">
        <v>1969</v>
      </c>
      <c r="Q190" s="7" t="s">
        <v>11</v>
      </c>
      <c r="R190" s="7">
        <v>10</v>
      </c>
      <c r="AD190" t="s">
        <v>87</v>
      </c>
      <c r="AE190">
        <v>504</v>
      </c>
      <c r="AS190" t="s">
        <v>87</v>
      </c>
      <c r="AT190">
        <v>12</v>
      </c>
    </row>
    <row r="191" spans="1:46" x14ac:dyDescent="0.25">
      <c r="A191" s="8" t="s">
        <v>11</v>
      </c>
      <c r="B191" s="8">
        <v>566</v>
      </c>
      <c r="Q191" s="8" t="s">
        <v>11</v>
      </c>
      <c r="R191" s="8">
        <v>9</v>
      </c>
      <c r="AD191" t="s">
        <v>87</v>
      </c>
      <c r="AE191">
        <v>1937</v>
      </c>
      <c r="AS191" t="s">
        <v>87</v>
      </c>
      <c r="AT191">
        <v>19</v>
      </c>
    </row>
    <row r="192" spans="1:46" x14ac:dyDescent="0.25">
      <c r="A192" s="7" t="s">
        <v>16</v>
      </c>
      <c r="B192" s="7">
        <v>1644</v>
      </c>
      <c r="Q192" s="7" t="s">
        <v>16</v>
      </c>
      <c r="R192" s="7">
        <v>18</v>
      </c>
      <c r="AD192" t="s">
        <v>87</v>
      </c>
      <c r="AE192">
        <v>1695</v>
      </c>
      <c r="AS192" t="s">
        <v>87</v>
      </c>
      <c r="AT192">
        <v>27</v>
      </c>
    </row>
    <row r="193" spans="1:46" x14ac:dyDescent="0.25">
      <c r="A193" s="8" t="s">
        <v>16</v>
      </c>
      <c r="B193" s="8">
        <v>1909</v>
      </c>
      <c r="Q193" s="8" t="s">
        <v>16</v>
      </c>
      <c r="R193" s="8">
        <v>10</v>
      </c>
      <c r="AD193" t="s">
        <v>87</v>
      </c>
      <c r="AE193">
        <v>2493</v>
      </c>
      <c r="AS193" t="s">
        <v>87</v>
      </c>
      <c r="AT193">
        <v>29</v>
      </c>
    </row>
    <row r="194" spans="1:46" x14ac:dyDescent="0.25">
      <c r="A194" s="7" t="s">
        <v>11</v>
      </c>
      <c r="B194" s="7">
        <v>1709</v>
      </c>
      <c r="Q194" s="7" t="s">
        <v>11</v>
      </c>
      <c r="R194" s="7">
        <v>23</v>
      </c>
      <c r="AD194" t="s">
        <v>87</v>
      </c>
      <c r="AE194">
        <v>1168</v>
      </c>
      <c r="AS194" t="s">
        <v>87</v>
      </c>
      <c r="AT194">
        <v>23</v>
      </c>
    </row>
    <row r="195" spans="1:46" x14ac:dyDescent="0.25">
      <c r="A195" s="8" t="s">
        <v>11</v>
      </c>
      <c r="B195" s="8">
        <v>2496</v>
      </c>
      <c r="Q195" s="8" t="s">
        <v>11</v>
      </c>
      <c r="R195" s="8">
        <v>9</v>
      </c>
      <c r="AD195" t="s">
        <v>87</v>
      </c>
      <c r="AE195">
        <v>901</v>
      </c>
      <c r="AS195" t="s">
        <v>87</v>
      </c>
      <c r="AT195">
        <v>6</v>
      </c>
    </row>
    <row r="196" spans="1:46" x14ac:dyDescent="0.25">
      <c r="A196" s="7" t="s">
        <v>16</v>
      </c>
      <c r="B196" s="7">
        <v>1865</v>
      </c>
      <c r="Q196" s="7" t="s">
        <v>16</v>
      </c>
      <c r="R196" s="7">
        <v>5</v>
      </c>
      <c r="AD196" t="s">
        <v>87</v>
      </c>
      <c r="AE196">
        <v>2335</v>
      </c>
      <c r="AS196" t="s">
        <v>87</v>
      </c>
      <c r="AT196">
        <v>10</v>
      </c>
    </row>
    <row r="197" spans="1:46" x14ac:dyDescent="0.25">
      <c r="A197" s="8" t="s">
        <v>16</v>
      </c>
      <c r="B197" s="8">
        <v>564</v>
      </c>
      <c r="Q197" s="8" t="s">
        <v>16</v>
      </c>
      <c r="R197" s="8">
        <v>27</v>
      </c>
      <c r="AD197" t="s">
        <v>87</v>
      </c>
      <c r="AE197">
        <v>2209</v>
      </c>
      <c r="AS197" t="s">
        <v>87</v>
      </c>
      <c r="AT197">
        <v>12</v>
      </c>
    </row>
    <row r="198" spans="1:46" x14ac:dyDescent="0.25">
      <c r="A198" s="7" t="s">
        <v>11</v>
      </c>
      <c r="B198" s="7">
        <v>915</v>
      </c>
      <c r="Q198" s="7" t="s">
        <v>11</v>
      </c>
      <c r="R198" s="7">
        <v>17</v>
      </c>
      <c r="AD198" t="s">
        <v>87</v>
      </c>
      <c r="AE198">
        <v>925</v>
      </c>
      <c r="AS198" t="s">
        <v>87</v>
      </c>
      <c r="AT198">
        <v>30</v>
      </c>
    </row>
    <row r="199" spans="1:46" x14ac:dyDescent="0.25">
      <c r="A199" s="8" t="s">
        <v>16</v>
      </c>
      <c r="B199" s="8">
        <v>2716</v>
      </c>
      <c r="Q199" s="8" t="s">
        <v>16</v>
      </c>
      <c r="R199" s="8">
        <v>8</v>
      </c>
      <c r="AD199" t="s">
        <v>87</v>
      </c>
      <c r="AE199">
        <v>1247</v>
      </c>
      <c r="AS199" t="s">
        <v>87</v>
      </c>
      <c r="AT199">
        <v>12</v>
      </c>
    </row>
    <row r="200" spans="1:46" x14ac:dyDescent="0.25">
      <c r="A200" s="7" t="s">
        <v>11</v>
      </c>
      <c r="B200" s="7">
        <v>1330</v>
      </c>
      <c r="Q200" s="7" t="s">
        <v>11</v>
      </c>
      <c r="R200" s="7">
        <v>29</v>
      </c>
      <c r="AD200" t="s">
        <v>87</v>
      </c>
      <c r="AE200">
        <v>1653</v>
      </c>
      <c r="AS200" t="s">
        <v>87</v>
      </c>
      <c r="AT200">
        <v>26</v>
      </c>
    </row>
    <row r="201" spans="1:46" x14ac:dyDescent="0.25">
      <c r="A201" s="8" t="s">
        <v>11</v>
      </c>
      <c r="B201" s="8">
        <v>1440</v>
      </c>
      <c r="Q201" s="8" t="s">
        <v>11</v>
      </c>
      <c r="R201" s="8">
        <v>25</v>
      </c>
      <c r="AD201" t="s">
        <v>87</v>
      </c>
      <c r="AE201">
        <v>1202</v>
      </c>
      <c r="AS201" t="s">
        <v>87</v>
      </c>
      <c r="AT201">
        <v>16</v>
      </c>
    </row>
    <row r="202" spans="1:46" x14ac:dyDescent="0.25">
      <c r="A202" s="7" t="s">
        <v>11</v>
      </c>
      <c r="B202" s="7">
        <v>923</v>
      </c>
      <c r="Q202" s="7" t="s">
        <v>11</v>
      </c>
      <c r="R202" s="7">
        <v>18</v>
      </c>
      <c r="AD202" t="s">
        <v>87</v>
      </c>
      <c r="AE202">
        <v>1019</v>
      </c>
      <c r="AS202" t="s">
        <v>87</v>
      </c>
      <c r="AT202">
        <v>13</v>
      </c>
    </row>
    <row r="203" spans="1:46" x14ac:dyDescent="0.25">
      <c r="A203" s="8" t="s">
        <v>16</v>
      </c>
      <c r="B203" s="8">
        <v>882</v>
      </c>
      <c r="Q203" s="8" t="s">
        <v>16</v>
      </c>
      <c r="R203" s="8">
        <v>30</v>
      </c>
      <c r="AD203" t="s">
        <v>87</v>
      </c>
      <c r="AE203">
        <v>2842</v>
      </c>
      <c r="AS203" t="s">
        <v>87</v>
      </c>
      <c r="AT203">
        <v>23</v>
      </c>
    </row>
    <row r="204" spans="1:46" x14ac:dyDescent="0.25">
      <c r="A204" s="7" t="s">
        <v>16</v>
      </c>
      <c r="B204" s="7">
        <v>2193</v>
      </c>
      <c r="Q204" s="7" t="s">
        <v>16</v>
      </c>
      <c r="R204" s="7">
        <v>17</v>
      </c>
      <c r="AD204" t="s">
        <v>87</v>
      </c>
      <c r="AE204">
        <v>2197</v>
      </c>
      <c r="AS204" t="s">
        <v>87</v>
      </c>
      <c r="AT204">
        <v>21</v>
      </c>
    </row>
    <row r="205" spans="1:46" x14ac:dyDescent="0.25">
      <c r="A205" s="8" t="s">
        <v>16</v>
      </c>
      <c r="B205" s="8">
        <v>1990</v>
      </c>
      <c r="Q205" s="8" t="s">
        <v>16</v>
      </c>
      <c r="R205" s="8">
        <v>12</v>
      </c>
      <c r="AD205" t="s">
        <v>87</v>
      </c>
      <c r="AE205">
        <v>1840</v>
      </c>
      <c r="AS205" t="s">
        <v>87</v>
      </c>
      <c r="AT205">
        <v>5</v>
      </c>
    </row>
    <row r="206" spans="1:46" x14ac:dyDescent="0.25">
      <c r="A206" s="7" t="s">
        <v>11</v>
      </c>
      <c r="B206" s="7">
        <v>2266</v>
      </c>
      <c r="Q206" s="7" t="s">
        <v>11</v>
      </c>
      <c r="R206" s="7">
        <v>25</v>
      </c>
      <c r="AD206" t="s">
        <v>87</v>
      </c>
      <c r="AE206">
        <v>972</v>
      </c>
      <c r="AS206" t="s">
        <v>87</v>
      </c>
      <c r="AT206">
        <v>30</v>
      </c>
    </row>
    <row r="207" spans="1:46" x14ac:dyDescent="0.25">
      <c r="A207" s="8" t="s">
        <v>16</v>
      </c>
      <c r="B207" s="8">
        <v>2306</v>
      </c>
      <c r="Q207" s="8" t="s">
        <v>16</v>
      </c>
      <c r="R207" s="8">
        <v>24</v>
      </c>
      <c r="AD207" t="s">
        <v>87</v>
      </c>
      <c r="AE207">
        <v>1349</v>
      </c>
      <c r="AS207" t="s">
        <v>87</v>
      </c>
      <c r="AT207">
        <v>29</v>
      </c>
    </row>
    <row r="208" spans="1:46" x14ac:dyDescent="0.25">
      <c r="A208" s="7" t="s">
        <v>11</v>
      </c>
      <c r="B208" s="7">
        <v>806</v>
      </c>
      <c r="Q208" s="7" t="s">
        <v>11</v>
      </c>
      <c r="R208" s="7">
        <v>5</v>
      </c>
      <c r="AD208" t="s">
        <v>87</v>
      </c>
      <c r="AE208">
        <v>1242</v>
      </c>
      <c r="AS208" t="s">
        <v>87</v>
      </c>
      <c r="AT208">
        <v>28</v>
      </c>
    </row>
    <row r="209" spans="1:46" x14ac:dyDescent="0.25">
      <c r="A209" s="8" t="s">
        <v>16</v>
      </c>
      <c r="B209" s="8">
        <v>1997</v>
      </c>
      <c r="Q209" s="8" t="s">
        <v>16</v>
      </c>
      <c r="R209" s="8">
        <v>28</v>
      </c>
      <c r="AD209" t="s">
        <v>87</v>
      </c>
      <c r="AE209">
        <v>1705</v>
      </c>
      <c r="AS209" t="s">
        <v>87</v>
      </c>
      <c r="AT209">
        <v>19</v>
      </c>
    </row>
    <row r="210" spans="1:46" x14ac:dyDescent="0.25">
      <c r="A210" s="7" t="s">
        <v>16</v>
      </c>
      <c r="B210" s="7">
        <v>688</v>
      </c>
      <c r="Q210" s="7" t="s">
        <v>16</v>
      </c>
      <c r="R210" s="7">
        <v>14</v>
      </c>
      <c r="AD210" t="s">
        <v>87</v>
      </c>
      <c r="AE210">
        <v>2611</v>
      </c>
      <c r="AS210" t="s">
        <v>87</v>
      </c>
      <c r="AT210">
        <v>9</v>
      </c>
    </row>
    <row r="211" spans="1:46" x14ac:dyDescent="0.25">
      <c r="A211" s="8" t="s">
        <v>11</v>
      </c>
      <c r="B211" s="8">
        <v>1842</v>
      </c>
      <c r="Q211" s="8" t="s">
        <v>11</v>
      </c>
      <c r="R211" s="8">
        <v>15</v>
      </c>
      <c r="AD211" t="s">
        <v>87</v>
      </c>
      <c r="AE211">
        <v>1940</v>
      </c>
      <c r="AS211" t="s">
        <v>87</v>
      </c>
      <c r="AT211">
        <v>28</v>
      </c>
    </row>
    <row r="212" spans="1:46" x14ac:dyDescent="0.25">
      <c r="A212" s="7" t="s">
        <v>16</v>
      </c>
      <c r="B212" s="7">
        <v>2314</v>
      </c>
      <c r="Q212" s="7" t="s">
        <v>16</v>
      </c>
      <c r="R212" s="7">
        <v>8</v>
      </c>
      <c r="AD212" t="s">
        <v>87</v>
      </c>
      <c r="AE212">
        <v>2289</v>
      </c>
      <c r="AS212" t="s">
        <v>87</v>
      </c>
      <c r="AT212">
        <v>26</v>
      </c>
    </row>
    <row r="213" spans="1:46" x14ac:dyDescent="0.25">
      <c r="A213" s="8" t="s">
        <v>11</v>
      </c>
      <c r="B213" s="8">
        <v>2606</v>
      </c>
      <c r="Q213" s="8" t="s">
        <v>11</v>
      </c>
      <c r="R213" s="8">
        <v>29</v>
      </c>
      <c r="AD213" t="s">
        <v>87</v>
      </c>
      <c r="AE213">
        <v>2312</v>
      </c>
      <c r="AS213" t="s">
        <v>87</v>
      </c>
      <c r="AT213">
        <v>25</v>
      </c>
    </row>
    <row r="214" spans="1:46" x14ac:dyDescent="0.25">
      <c r="A214" s="7" t="s">
        <v>11</v>
      </c>
      <c r="B214" s="7">
        <v>1447</v>
      </c>
      <c r="Q214" s="7" t="s">
        <v>11</v>
      </c>
      <c r="R214" s="7">
        <v>11</v>
      </c>
      <c r="AD214" t="s">
        <v>87</v>
      </c>
      <c r="AE214">
        <v>894</v>
      </c>
      <c r="AS214" t="s">
        <v>87</v>
      </c>
      <c r="AT214">
        <v>13</v>
      </c>
    </row>
    <row r="215" spans="1:46" x14ac:dyDescent="0.25">
      <c r="A215" s="8" t="s">
        <v>11</v>
      </c>
      <c r="B215" s="8">
        <v>2383</v>
      </c>
      <c r="Q215" s="8" t="s">
        <v>11</v>
      </c>
      <c r="R215" s="8">
        <v>10</v>
      </c>
      <c r="AD215" t="s">
        <v>87</v>
      </c>
      <c r="AE215">
        <v>2552</v>
      </c>
      <c r="AS215" t="s">
        <v>87</v>
      </c>
      <c r="AT215">
        <v>28</v>
      </c>
    </row>
    <row r="216" spans="1:46" x14ac:dyDescent="0.25">
      <c r="A216" s="7" t="s">
        <v>11</v>
      </c>
      <c r="B216" s="7">
        <v>2778</v>
      </c>
      <c r="Q216" s="7" t="s">
        <v>11</v>
      </c>
      <c r="R216" s="7">
        <v>9</v>
      </c>
      <c r="AD216" t="s">
        <v>87</v>
      </c>
      <c r="AE216">
        <v>840</v>
      </c>
      <c r="AS216" t="s">
        <v>87</v>
      </c>
      <c r="AT216">
        <v>29</v>
      </c>
    </row>
    <row r="217" spans="1:46" x14ac:dyDescent="0.25">
      <c r="A217" s="8" t="s">
        <v>11</v>
      </c>
      <c r="B217" s="8">
        <v>998</v>
      </c>
      <c r="Q217" s="8" t="s">
        <v>11</v>
      </c>
      <c r="R217" s="8">
        <v>6</v>
      </c>
      <c r="AD217" t="s">
        <v>87</v>
      </c>
      <c r="AE217">
        <v>2642</v>
      </c>
      <c r="AS217" t="s">
        <v>87</v>
      </c>
      <c r="AT217">
        <v>21</v>
      </c>
    </row>
    <row r="218" spans="1:46" x14ac:dyDescent="0.25">
      <c r="A218" s="7" t="s">
        <v>11</v>
      </c>
      <c r="B218" s="7">
        <v>875</v>
      </c>
      <c r="Q218" s="7" t="s">
        <v>11</v>
      </c>
      <c r="R218" s="7">
        <v>5</v>
      </c>
      <c r="AD218" t="s">
        <v>87</v>
      </c>
      <c r="AE218">
        <v>725</v>
      </c>
      <c r="AS218" t="s">
        <v>87</v>
      </c>
      <c r="AT218">
        <v>7</v>
      </c>
    </row>
    <row r="219" spans="1:46" x14ac:dyDescent="0.25">
      <c r="A219" s="8" t="s">
        <v>16</v>
      </c>
      <c r="B219" s="8">
        <v>2352</v>
      </c>
      <c r="Q219" s="8" t="s">
        <v>16</v>
      </c>
      <c r="R219" s="8">
        <v>15</v>
      </c>
      <c r="AD219" t="s">
        <v>87</v>
      </c>
      <c r="AE219">
        <v>2833</v>
      </c>
      <c r="AS219" t="s">
        <v>87</v>
      </c>
      <c r="AT219">
        <v>21</v>
      </c>
    </row>
    <row r="220" spans="1:46" x14ac:dyDescent="0.25">
      <c r="A220" s="7" t="s">
        <v>16</v>
      </c>
      <c r="B220" s="7">
        <v>1996</v>
      </c>
      <c r="Q220" s="7" t="s">
        <v>16</v>
      </c>
      <c r="R220" s="7">
        <v>30</v>
      </c>
      <c r="AD220" t="s">
        <v>87</v>
      </c>
      <c r="AE220">
        <v>896</v>
      </c>
      <c r="AS220" t="s">
        <v>87</v>
      </c>
      <c r="AT220">
        <v>7</v>
      </c>
    </row>
    <row r="221" spans="1:46" x14ac:dyDescent="0.25">
      <c r="A221" s="8" t="s">
        <v>11</v>
      </c>
      <c r="B221" s="8">
        <v>2610</v>
      </c>
      <c r="Q221" s="8" t="s">
        <v>11</v>
      </c>
      <c r="R221" s="8">
        <v>6</v>
      </c>
      <c r="AD221" t="s">
        <v>87</v>
      </c>
      <c r="AE221">
        <v>2742</v>
      </c>
      <c r="AS221" t="s">
        <v>87</v>
      </c>
      <c r="AT221">
        <v>29</v>
      </c>
    </row>
    <row r="222" spans="1:46" x14ac:dyDescent="0.25">
      <c r="A222" s="7" t="s">
        <v>11</v>
      </c>
      <c r="B222" s="7">
        <v>1503</v>
      </c>
      <c r="Q222" s="7" t="s">
        <v>11</v>
      </c>
      <c r="R222" s="7">
        <v>29</v>
      </c>
      <c r="AD222" t="s">
        <v>87</v>
      </c>
      <c r="AE222">
        <v>2247</v>
      </c>
      <c r="AS222" t="s">
        <v>87</v>
      </c>
      <c r="AT222">
        <v>27</v>
      </c>
    </row>
    <row r="223" spans="1:46" x14ac:dyDescent="0.25">
      <c r="A223" s="8" t="s">
        <v>11</v>
      </c>
      <c r="B223" s="8">
        <v>2261</v>
      </c>
      <c r="Q223" s="8" t="s">
        <v>11</v>
      </c>
      <c r="R223" s="8">
        <v>26</v>
      </c>
      <c r="AD223" t="s">
        <v>87</v>
      </c>
      <c r="AE223">
        <v>1401</v>
      </c>
      <c r="AS223" t="s">
        <v>87</v>
      </c>
      <c r="AT223">
        <v>24</v>
      </c>
    </row>
    <row r="224" spans="1:46" x14ac:dyDescent="0.25">
      <c r="A224" s="7" t="s">
        <v>11</v>
      </c>
      <c r="B224" s="7">
        <v>2166</v>
      </c>
      <c r="Q224" s="7" t="s">
        <v>11</v>
      </c>
      <c r="R224" s="7">
        <v>17</v>
      </c>
      <c r="AD224" t="s">
        <v>87</v>
      </c>
      <c r="AE224">
        <v>2599</v>
      </c>
      <c r="AS224" t="s">
        <v>87</v>
      </c>
      <c r="AT224">
        <v>13</v>
      </c>
    </row>
    <row r="225" spans="1:46" x14ac:dyDescent="0.25">
      <c r="A225" s="8" t="s">
        <v>11</v>
      </c>
      <c r="B225" s="8">
        <v>867</v>
      </c>
      <c r="Q225" s="8" t="s">
        <v>11</v>
      </c>
      <c r="R225" s="8">
        <v>17</v>
      </c>
      <c r="AD225" t="s">
        <v>87</v>
      </c>
      <c r="AE225">
        <v>1483</v>
      </c>
      <c r="AS225" t="s">
        <v>87</v>
      </c>
      <c r="AT225">
        <v>22</v>
      </c>
    </row>
    <row r="226" spans="1:46" x14ac:dyDescent="0.25">
      <c r="A226" s="7" t="s">
        <v>11</v>
      </c>
      <c r="B226" s="7">
        <v>1306</v>
      </c>
      <c r="Q226" s="7" t="s">
        <v>11</v>
      </c>
      <c r="R226" s="7">
        <v>26</v>
      </c>
      <c r="AD226" t="s">
        <v>87</v>
      </c>
      <c r="AE226">
        <v>1090</v>
      </c>
      <c r="AS226" t="s">
        <v>87</v>
      </c>
      <c r="AT226">
        <v>11</v>
      </c>
    </row>
    <row r="227" spans="1:46" x14ac:dyDescent="0.25">
      <c r="A227" s="8" t="s">
        <v>11</v>
      </c>
      <c r="B227" s="8">
        <v>2614</v>
      </c>
      <c r="Q227" s="8" t="s">
        <v>11</v>
      </c>
      <c r="R227" s="8">
        <v>16</v>
      </c>
      <c r="AD227" t="s">
        <v>87</v>
      </c>
      <c r="AE227">
        <v>1174</v>
      </c>
      <c r="AS227" t="s">
        <v>87</v>
      </c>
      <c r="AT227">
        <v>28</v>
      </c>
    </row>
    <row r="228" spans="1:46" x14ac:dyDescent="0.25">
      <c r="A228" s="7" t="s">
        <v>11</v>
      </c>
      <c r="B228" s="7">
        <v>1926</v>
      </c>
      <c r="Q228" s="7" t="s">
        <v>11</v>
      </c>
      <c r="R228" s="7">
        <v>8</v>
      </c>
      <c r="AD228" t="s">
        <v>87</v>
      </c>
      <c r="AE228">
        <v>2553</v>
      </c>
      <c r="AS228" t="s">
        <v>87</v>
      </c>
      <c r="AT228">
        <v>13</v>
      </c>
    </row>
    <row r="229" spans="1:46" x14ac:dyDescent="0.25">
      <c r="A229" s="8" t="s">
        <v>16</v>
      </c>
      <c r="B229" s="8">
        <v>1638</v>
      </c>
      <c r="Q229" s="8" t="s">
        <v>16</v>
      </c>
      <c r="R229" s="8">
        <v>19</v>
      </c>
      <c r="AD229" t="s">
        <v>87</v>
      </c>
      <c r="AE229">
        <v>2563</v>
      </c>
      <c r="AS229" t="s">
        <v>87</v>
      </c>
      <c r="AT229">
        <v>16</v>
      </c>
    </row>
    <row r="230" spans="1:46" x14ac:dyDescent="0.25">
      <c r="A230" s="7" t="s">
        <v>16</v>
      </c>
      <c r="B230" s="7">
        <v>2600</v>
      </c>
      <c r="Q230" s="7" t="s">
        <v>16</v>
      </c>
      <c r="R230" s="7">
        <v>26</v>
      </c>
      <c r="AD230" t="s">
        <v>87</v>
      </c>
      <c r="AE230">
        <v>675</v>
      </c>
      <c r="AS230" t="s">
        <v>87</v>
      </c>
      <c r="AT230">
        <v>14</v>
      </c>
    </row>
    <row r="231" spans="1:46" x14ac:dyDescent="0.25">
      <c r="A231" s="8" t="s">
        <v>16</v>
      </c>
      <c r="B231" s="8">
        <v>2763</v>
      </c>
      <c r="Q231" s="8" t="s">
        <v>16</v>
      </c>
      <c r="R231" s="8">
        <v>19</v>
      </c>
      <c r="AD231" t="s">
        <v>87</v>
      </c>
      <c r="AE231">
        <v>957</v>
      </c>
      <c r="AS231" t="s">
        <v>87</v>
      </c>
      <c r="AT231">
        <v>17</v>
      </c>
    </row>
    <row r="232" spans="1:46" x14ac:dyDescent="0.25">
      <c r="A232" s="7" t="s">
        <v>16</v>
      </c>
      <c r="B232" s="7">
        <v>1732</v>
      </c>
      <c r="Q232" s="7" t="s">
        <v>16</v>
      </c>
      <c r="R232" s="7">
        <v>12</v>
      </c>
      <c r="AD232" t="s">
        <v>87</v>
      </c>
      <c r="AE232">
        <v>1884</v>
      </c>
      <c r="AS232" t="s">
        <v>87</v>
      </c>
      <c r="AT232">
        <v>23</v>
      </c>
    </row>
    <row r="233" spans="1:46" x14ac:dyDescent="0.25">
      <c r="A233" s="8" t="s">
        <v>11</v>
      </c>
      <c r="B233" s="8">
        <v>1931</v>
      </c>
      <c r="Q233" s="8" t="s">
        <v>11</v>
      </c>
      <c r="R233" s="8">
        <v>24</v>
      </c>
      <c r="AD233" t="s">
        <v>87</v>
      </c>
      <c r="AE233">
        <v>2304</v>
      </c>
      <c r="AS233" t="s">
        <v>87</v>
      </c>
      <c r="AT233">
        <v>18</v>
      </c>
    </row>
    <row r="234" spans="1:46" x14ac:dyDescent="0.25">
      <c r="A234" s="7" t="s">
        <v>16</v>
      </c>
      <c r="B234" s="7">
        <v>2543</v>
      </c>
      <c r="Q234" s="7" t="s">
        <v>16</v>
      </c>
      <c r="R234" s="7">
        <v>11</v>
      </c>
      <c r="AD234" t="s">
        <v>87</v>
      </c>
      <c r="AE234">
        <v>1016</v>
      </c>
      <c r="AS234" t="s">
        <v>87</v>
      </c>
      <c r="AT234">
        <v>7</v>
      </c>
    </row>
    <row r="235" spans="1:46" x14ac:dyDescent="0.25">
      <c r="A235" s="8" t="s">
        <v>16</v>
      </c>
      <c r="B235" s="8">
        <v>1914</v>
      </c>
      <c r="Q235" s="8" t="s">
        <v>16</v>
      </c>
      <c r="R235" s="8">
        <v>13</v>
      </c>
      <c r="AD235" t="s">
        <v>87</v>
      </c>
      <c r="AE235">
        <v>1042</v>
      </c>
      <c r="AS235" t="s">
        <v>87</v>
      </c>
      <c r="AT235">
        <v>20</v>
      </c>
    </row>
    <row r="236" spans="1:46" x14ac:dyDescent="0.25">
      <c r="A236" s="7" t="s">
        <v>11</v>
      </c>
      <c r="B236" s="7">
        <v>1000</v>
      </c>
      <c r="Q236" s="7" t="s">
        <v>11</v>
      </c>
      <c r="R236" s="7">
        <v>30</v>
      </c>
      <c r="AD236" t="s">
        <v>87</v>
      </c>
      <c r="AE236">
        <v>1644</v>
      </c>
      <c r="AS236" t="s">
        <v>87</v>
      </c>
      <c r="AT236">
        <v>18</v>
      </c>
    </row>
    <row r="237" spans="1:46" x14ac:dyDescent="0.25">
      <c r="A237" s="8" t="s">
        <v>11</v>
      </c>
      <c r="B237" s="8">
        <v>976</v>
      </c>
      <c r="Q237" s="8" t="s">
        <v>11</v>
      </c>
      <c r="R237" s="8">
        <v>25</v>
      </c>
      <c r="AD237" t="s">
        <v>87</v>
      </c>
      <c r="AE237">
        <v>2496</v>
      </c>
      <c r="AS237" t="s">
        <v>87</v>
      </c>
      <c r="AT237">
        <v>9</v>
      </c>
    </row>
    <row r="238" spans="1:46" x14ac:dyDescent="0.25">
      <c r="A238" s="7" t="s">
        <v>16</v>
      </c>
      <c r="B238" s="7">
        <v>2378</v>
      </c>
      <c r="Q238" s="7" t="s">
        <v>16</v>
      </c>
      <c r="R238" s="7">
        <v>17</v>
      </c>
      <c r="AD238" t="s">
        <v>87</v>
      </c>
      <c r="AE238">
        <v>1990</v>
      </c>
      <c r="AS238" t="s">
        <v>87</v>
      </c>
      <c r="AT238">
        <v>12</v>
      </c>
    </row>
    <row r="239" spans="1:46" x14ac:dyDescent="0.25">
      <c r="A239" s="8" t="s">
        <v>11</v>
      </c>
      <c r="B239" s="8">
        <v>2365</v>
      </c>
      <c r="Q239" s="8" t="s">
        <v>11</v>
      </c>
      <c r="R239" s="8">
        <v>14</v>
      </c>
      <c r="AD239" t="s">
        <v>87</v>
      </c>
      <c r="AE239">
        <v>806</v>
      </c>
      <c r="AS239" t="s">
        <v>87</v>
      </c>
      <c r="AT239">
        <v>5</v>
      </c>
    </row>
    <row r="240" spans="1:46" x14ac:dyDescent="0.25">
      <c r="A240" s="7" t="s">
        <v>11</v>
      </c>
      <c r="B240" s="7">
        <v>1624</v>
      </c>
      <c r="Q240" s="7" t="s">
        <v>11</v>
      </c>
      <c r="R240" s="7">
        <v>21</v>
      </c>
      <c r="AD240" t="s">
        <v>87</v>
      </c>
      <c r="AE240">
        <v>688</v>
      </c>
      <c r="AS240" t="s">
        <v>87</v>
      </c>
      <c r="AT240">
        <v>14</v>
      </c>
    </row>
    <row r="241" spans="1:46" x14ac:dyDescent="0.25">
      <c r="A241" s="8" t="s">
        <v>16</v>
      </c>
      <c r="B241" s="8">
        <v>1853</v>
      </c>
      <c r="Q241" s="8" t="s">
        <v>16</v>
      </c>
      <c r="R241" s="8">
        <v>6</v>
      </c>
      <c r="AD241" t="s">
        <v>87</v>
      </c>
      <c r="AE241">
        <v>2778</v>
      </c>
      <c r="AS241" t="s">
        <v>87</v>
      </c>
      <c r="AT241">
        <v>9</v>
      </c>
    </row>
    <row r="242" spans="1:46" x14ac:dyDescent="0.25">
      <c r="A242" s="7" t="s">
        <v>16</v>
      </c>
      <c r="B242" s="7">
        <v>2040</v>
      </c>
      <c r="Q242" s="7" t="s">
        <v>16</v>
      </c>
      <c r="R242" s="7">
        <v>7</v>
      </c>
      <c r="AD242" t="s">
        <v>87</v>
      </c>
      <c r="AE242">
        <v>2166</v>
      </c>
      <c r="AS242" t="s">
        <v>87</v>
      </c>
      <c r="AT242">
        <v>17</v>
      </c>
    </row>
    <row r="243" spans="1:46" x14ac:dyDescent="0.25">
      <c r="A243" s="8" t="s">
        <v>16</v>
      </c>
      <c r="B243" s="8">
        <v>2417</v>
      </c>
      <c r="Q243" s="8" t="s">
        <v>16</v>
      </c>
      <c r="R243" s="8">
        <v>18</v>
      </c>
      <c r="AD243" t="s">
        <v>87</v>
      </c>
      <c r="AE243">
        <v>2614</v>
      </c>
      <c r="AS243" t="s">
        <v>87</v>
      </c>
      <c r="AT243">
        <v>16</v>
      </c>
    </row>
    <row r="244" spans="1:46" x14ac:dyDescent="0.25">
      <c r="A244" s="7" t="s">
        <v>11</v>
      </c>
      <c r="B244" s="7">
        <v>2485</v>
      </c>
      <c r="Q244" s="7" t="s">
        <v>11</v>
      </c>
      <c r="R244" s="7">
        <v>16</v>
      </c>
      <c r="AD244" t="s">
        <v>87</v>
      </c>
      <c r="AE244">
        <v>1926</v>
      </c>
      <c r="AS244" t="s">
        <v>87</v>
      </c>
      <c r="AT244">
        <v>8</v>
      </c>
    </row>
    <row r="245" spans="1:46" x14ac:dyDescent="0.25">
      <c r="A245" s="8" t="s">
        <v>16</v>
      </c>
      <c r="B245" s="8">
        <v>865</v>
      </c>
      <c r="Q245" s="8" t="s">
        <v>16</v>
      </c>
      <c r="R245" s="8">
        <v>23</v>
      </c>
      <c r="AD245" t="s">
        <v>87</v>
      </c>
      <c r="AE245">
        <v>2600</v>
      </c>
      <c r="AS245" t="s">
        <v>87</v>
      </c>
      <c r="AT245">
        <v>26</v>
      </c>
    </row>
    <row r="246" spans="1:46" x14ac:dyDescent="0.25">
      <c r="A246" s="7" t="s">
        <v>11</v>
      </c>
      <c r="B246" s="7">
        <v>1832</v>
      </c>
      <c r="Q246" s="7" t="s">
        <v>11</v>
      </c>
      <c r="R246" s="7">
        <v>9</v>
      </c>
      <c r="AD246" t="s">
        <v>87</v>
      </c>
      <c r="AE246">
        <v>1931</v>
      </c>
      <c r="AS246" t="s">
        <v>87</v>
      </c>
      <c r="AT246">
        <v>24</v>
      </c>
    </row>
    <row r="247" spans="1:46" x14ac:dyDescent="0.25">
      <c r="A247" s="8" t="s">
        <v>16</v>
      </c>
      <c r="B247" s="8">
        <v>1826</v>
      </c>
      <c r="Q247" s="8" t="s">
        <v>16</v>
      </c>
      <c r="R247" s="8">
        <v>8</v>
      </c>
      <c r="AD247" t="s">
        <v>87</v>
      </c>
      <c r="AE247">
        <v>1914</v>
      </c>
      <c r="AS247" t="s">
        <v>87</v>
      </c>
      <c r="AT247">
        <v>13</v>
      </c>
    </row>
    <row r="248" spans="1:46" x14ac:dyDescent="0.25">
      <c r="A248" s="7" t="s">
        <v>11</v>
      </c>
      <c r="B248" s="7">
        <v>507</v>
      </c>
      <c r="Q248" s="7" t="s">
        <v>11</v>
      </c>
      <c r="R248" s="7">
        <v>16</v>
      </c>
      <c r="AD248" t="s">
        <v>87</v>
      </c>
      <c r="AE248">
        <v>2365</v>
      </c>
      <c r="AS248" t="s">
        <v>87</v>
      </c>
      <c r="AT248">
        <v>14</v>
      </c>
    </row>
    <row r="249" spans="1:46" x14ac:dyDescent="0.25">
      <c r="A249" s="8" t="s">
        <v>11</v>
      </c>
      <c r="B249" s="8">
        <v>2306</v>
      </c>
      <c r="Q249" s="8" t="s">
        <v>11</v>
      </c>
      <c r="R249" s="8">
        <v>29</v>
      </c>
      <c r="AD249" t="s">
        <v>87</v>
      </c>
      <c r="AE249">
        <v>1832</v>
      </c>
      <c r="AS249" t="s">
        <v>87</v>
      </c>
      <c r="AT249">
        <v>9</v>
      </c>
    </row>
    <row r="250" spans="1:46" x14ac:dyDescent="0.25">
      <c r="A250" s="7" t="s">
        <v>16</v>
      </c>
      <c r="B250" s="7">
        <v>2186</v>
      </c>
      <c r="Q250" s="7" t="s">
        <v>16</v>
      </c>
      <c r="R250" s="7">
        <v>29</v>
      </c>
      <c r="AD250" t="s">
        <v>87</v>
      </c>
      <c r="AE250">
        <v>507</v>
      </c>
      <c r="AS250" t="s">
        <v>87</v>
      </c>
      <c r="AT250">
        <v>16</v>
      </c>
    </row>
    <row r="251" spans="1:46" x14ac:dyDescent="0.25">
      <c r="A251" s="8" t="s">
        <v>11</v>
      </c>
      <c r="B251" s="8">
        <v>2054</v>
      </c>
      <c r="Q251" s="8" t="s">
        <v>11</v>
      </c>
      <c r="R251" s="8">
        <v>24</v>
      </c>
      <c r="AD251" t="s">
        <v>87</v>
      </c>
      <c r="AE251">
        <v>2054</v>
      </c>
      <c r="AS251" t="s">
        <v>87</v>
      </c>
      <c r="AT251">
        <v>24</v>
      </c>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CBDB5-09CE-4D01-9254-D3608E453F0E}">
  <dimension ref="A1:O251"/>
  <sheetViews>
    <sheetView topLeftCell="G1" zoomScale="54" workbookViewId="0">
      <selection activeCell="M29" sqref="M29"/>
    </sheetView>
  </sheetViews>
  <sheetFormatPr defaultRowHeight="15" x14ac:dyDescent="0.25"/>
  <cols>
    <col min="1" max="1" width="12.5703125" bestFit="1" customWidth="1"/>
    <col min="2" max="2" width="14.28515625" customWidth="1"/>
    <col min="3" max="3" width="12.42578125" customWidth="1"/>
    <col min="4" max="4" width="13.7109375" customWidth="1"/>
    <col min="5" max="5" width="22.7109375" customWidth="1"/>
    <col min="6" max="6" width="23.140625" customWidth="1"/>
    <col min="7" max="7" width="27.42578125" customWidth="1"/>
    <col min="8" max="8" width="31.28515625" customWidth="1"/>
    <col min="9" max="9" width="27.7109375" customWidth="1"/>
    <col min="10" max="10" width="23.28515625" customWidth="1"/>
    <col min="11" max="11" width="13.7109375" bestFit="1" customWidth="1"/>
    <col min="12" max="12" width="18.5703125" customWidth="1"/>
    <col min="13" max="13" width="29.7109375" customWidth="1"/>
    <col min="14" max="15" width="29.28515625" customWidth="1"/>
  </cols>
  <sheetData>
    <row r="1" spans="1:15" x14ac:dyDescent="0.25">
      <c r="A1" t="s">
        <v>0</v>
      </c>
      <c r="B1" t="s">
        <v>1</v>
      </c>
      <c r="C1" t="s">
        <v>2</v>
      </c>
      <c r="D1" t="s">
        <v>3</v>
      </c>
      <c r="E1" t="s">
        <v>4</v>
      </c>
      <c r="F1" t="s">
        <v>5</v>
      </c>
      <c r="G1" t="s">
        <v>6</v>
      </c>
      <c r="H1" t="s">
        <v>7</v>
      </c>
      <c r="I1" t="s">
        <v>9</v>
      </c>
      <c r="J1" t="s">
        <v>8</v>
      </c>
    </row>
    <row r="2" spans="1:15" ht="36" x14ac:dyDescent="0.55000000000000004">
      <c r="A2">
        <v>1038</v>
      </c>
      <c r="B2" t="s">
        <v>40</v>
      </c>
      <c r="C2">
        <v>18</v>
      </c>
      <c r="D2" t="s">
        <v>16</v>
      </c>
      <c r="E2" t="s">
        <v>49</v>
      </c>
      <c r="F2" t="s">
        <v>41</v>
      </c>
      <c r="G2">
        <v>26</v>
      </c>
      <c r="H2">
        <v>880</v>
      </c>
      <c r="I2">
        <v>10</v>
      </c>
      <c r="J2" t="s">
        <v>30</v>
      </c>
      <c r="M2" s="17"/>
    </row>
    <row r="3" spans="1:15" x14ac:dyDescent="0.25">
      <c r="A3">
        <v>1043</v>
      </c>
      <c r="B3" t="s">
        <v>40</v>
      </c>
      <c r="C3">
        <v>19</v>
      </c>
      <c r="D3" t="s">
        <v>11</v>
      </c>
      <c r="E3" t="s">
        <v>17</v>
      </c>
      <c r="F3" t="s">
        <v>41</v>
      </c>
      <c r="G3">
        <v>21</v>
      </c>
      <c r="H3">
        <v>2994</v>
      </c>
      <c r="I3">
        <v>2</v>
      </c>
      <c r="J3" t="s">
        <v>14</v>
      </c>
    </row>
    <row r="4" spans="1:15" x14ac:dyDescent="0.25">
      <c r="A4">
        <v>1075</v>
      </c>
      <c r="B4" t="s">
        <v>51</v>
      </c>
      <c r="C4">
        <v>20</v>
      </c>
      <c r="D4" t="s">
        <v>11</v>
      </c>
      <c r="E4" t="s">
        <v>27</v>
      </c>
      <c r="F4" t="s">
        <v>38</v>
      </c>
      <c r="G4">
        <v>21</v>
      </c>
      <c r="H4">
        <v>511</v>
      </c>
      <c r="I4">
        <v>8</v>
      </c>
      <c r="J4" t="s">
        <v>14</v>
      </c>
    </row>
    <row r="5" spans="1:15" ht="31.5" x14ac:dyDescent="0.5">
      <c r="A5">
        <v>1077</v>
      </c>
      <c r="B5" t="s">
        <v>31</v>
      </c>
      <c r="C5">
        <v>19</v>
      </c>
      <c r="D5" t="s">
        <v>16</v>
      </c>
      <c r="E5" t="s">
        <v>35</v>
      </c>
      <c r="F5" t="s">
        <v>41</v>
      </c>
      <c r="G5">
        <v>21</v>
      </c>
      <c r="H5">
        <v>1254</v>
      </c>
      <c r="I5">
        <v>1</v>
      </c>
      <c r="J5" t="s">
        <v>14</v>
      </c>
      <c r="M5" s="18" t="s">
        <v>94</v>
      </c>
    </row>
    <row r="6" spans="1:15" x14ac:dyDescent="0.25">
      <c r="A6">
        <v>1079</v>
      </c>
      <c r="B6" t="s">
        <v>24</v>
      </c>
      <c r="C6">
        <v>20</v>
      </c>
      <c r="D6" t="s">
        <v>16</v>
      </c>
      <c r="E6" t="s">
        <v>25</v>
      </c>
      <c r="F6" t="s">
        <v>18</v>
      </c>
      <c r="G6">
        <v>8</v>
      </c>
      <c r="H6">
        <v>787</v>
      </c>
      <c r="I6">
        <v>7</v>
      </c>
      <c r="J6" t="s">
        <v>36</v>
      </c>
    </row>
    <row r="7" spans="1:15" x14ac:dyDescent="0.25">
      <c r="A7">
        <v>1132</v>
      </c>
      <c r="B7" t="s">
        <v>20</v>
      </c>
      <c r="C7">
        <v>19</v>
      </c>
      <c r="D7" t="s">
        <v>16</v>
      </c>
      <c r="E7" t="s">
        <v>49</v>
      </c>
      <c r="F7" t="s">
        <v>29</v>
      </c>
      <c r="G7">
        <v>28</v>
      </c>
      <c r="H7">
        <v>2846</v>
      </c>
      <c r="I7">
        <v>0</v>
      </c>
      <c r="J7" t="s">
        <v>19</v>
      </c>
    </row>
    <row r="8" spans="1:15" x14ac:dyDescent="0.25">
      <c r="A8">
        <v>1152</v>
      </c>
      <c r="B8" t="s">
        <v>28</v>
      </c>
      <c r="C8">
        <v>19</v>
      </c>
      <c r="D8" t="s">
        <v>16</v>
      </c>
      <c r="E8" t="s">
        <v>49</v>
      </c>
      <c r="F8" t="s">
        <v>41</v>
      </c>
      <c r="G8">
        <v>9</v>
      </c>
      <c r="H8">
        <v>979</v>
      </c>
      <c r="I8">
        <v>4</v>
      </c>
      <c r="J8" t="s">
        <v>43</v>
      </c>
      <c r="L8" s="9" t="s">
        <v>72</v>
      </c>
      <c r="M8" s="9" t="s">
        <v>6</v>
      </c>
      <c r="N8" s="9" t="s">
        <v>7</v>
      </c>
      <c r="O8" s="9" t="s">
        <v>9</v>
      </c>
    </row>
    <row r="9" spans="1:15" x14ac:dyDescent="0.25">
      <c r="A9">
        <v>1168</v>
      </c>
      <c r="B9" t="s">
        <v>34</v>
      </c>
      <c r="C9">
        <v>19</v>
      </c>
      <c r="D9" t="s">
        <v>16</v>
      </c>
      <c r="E9" t="s">
        <v>35</v>
      </c>
      <c r="F9" t="s">
        <v>33</v>
      </c>
      <c r="G9">
        <v>22</v>
      </c>
      <c r="H9">
        <v>1517</v>
      </c>
      <c r="I9">
        <v>9</v>
      </c>
      <c r="J9" t="s">
        <v>36</v>
      </c>
      <c r="L9" s="9" t="s">
        <v>73</v>
      </c>
      <c r="M9" s="9">
        <f>AVERAGE(entertainment_preferences_2503[Streaming_Hours_per_Week])</f>
        <v>17.78</v>
      </c>
      <c r="N9" s="9">
        <f>AVERAGE(entertainment_preferences_2503[Monthly_Entertainment_Spend])</f>
        <v>1668.6679999999999</v>
      </c>
      <c r="O9" s="9">
        <f>AVERAGE(entertainment_preferences_2503[Event_Attendance_per_Year])</f>
        <v>5.12</v>
      </c>
    </row>
    <row r="10" spans="1:15" x14ac:dyDescent="0.25">
      <c r="A10">
        <v>1174</v>
      </c>
      <c r="B10" t="s">
        <v>37</v>
      </c>
      <c r="C10">
        <v>19</v>
      </c>
      <c r="D10" t="s">
        <v>16</v>
      </c>
      <c r="E10" t="s">
        <v>17</v>
      </c>
      <c r="F10" t="s">
        <v>38</v>
      </c>
      <c r="G10">
        <v>25</v>
      </c>
      <c r="H10">
        <v>1772</v>
      </c>
      <c r="I10">
        <v>3</v>
      </c>
      <c r="J10" t="s">
        <v>23</v>
      </c>
      <c r="L10" s="9" t="s">
        <v>74</v>
      </c>
      <c r="M10" s="9">
        <f>MEDIAN(entertainment_preferences_2503[Streaming_Hours_per_Week])</f>
        <v>18</v>
      </c>
      <c r="N10" s="9">
        <f>MEDIAN(entertainment_preferences_2503[Monthly_Entertainment_Spend])</f>
        <v>1652</v>
      </c>
      <c r="O10" s="9">
        <f>MEDIAN(entertainment_preferences_2503[Event_Attendance_per_Year])</f>
        <v>5</v>
      </c>
    </row>
    <row r="11" spans="1:15" x14ac:dyDescent="0.25">
      <c r="A11">
        <v>1184</v>
      </c>
      <c r="B11" t="s">
        <v>51</v>
      </c>
      <c r="C11">
        <v>19</v>
      </c>
      <c r="D11" t="s">
        <v>16</v>
      </c>
      <c r="E11" t="s">
        <v>25</v>
      </c>
      <c r="F11" t="s">
        <v>33</v>
      </c>
      <c r="G11">
        <v>29</v>
      </c>
      <c r="H11">
        <v>1630</v>
      </c>
      <c r="I11">
        <v>1</v>
      </c>
      <c r="J11" t="s">
        <v>43</v>
      </c>
      <c r="L11" s="9" t="s">
        <v>75</v>
      </c>
      <c r="M11" s="9">
        <f>MODE(entertainment_preferences_2503[Streaming_Hours_per_Week])</f>
        <v>29</v>
      </c>
      <c r="N11" s="9">
        <f>MODE(entertainment_preferences_2503[Monthly_Entertainment_Spend])</f>
        <v>1401</v>
      </c>
      <c r="O11" s="9">
        <f>MODE(entertainment_preferences_2503[Event_Attendance_per_Year])</f>
        <v>10</v>
      </c>
    </row>
    <row r="12" spans="1:15" x14ac:dyDescent="0.25">
      <c r="A12">
        <v>1190</v>
      </c>
      <c r="B12" t="s">
        <v>37</v>
      </c>
      <c r="C12">
        <v>19</v>
      </c>
      <c r="D12" t="s">
        <v>11</v>
      </c>
      <c r="E12" t="s">
        <v>49</v>
      </c>
      <c r="F12" t="s">
        <v>18</v>
      </c>
      <c r="G12">
        <v>9</v>
      </c>
      <c r="H12">
        <v>566</v>
      </c>
      <c r="I12">
        <v>2</v>
      </c>
      <c r="J12" t="s">
        <v>19</v>
      </c>
      <c r="L12" s="9" t="s">
        <v>76</v>
      </c>
      <c r="M12" s="9">
        <f>MAX(entertainment_preferences_2503[Streaming_Hours_per_Week])-MIN(entertainment_preferences_2503[Streaming_Hours_per_Week])</f>
        <v>25</v>
      </c>
      <c r="N12" s="9">
        <f>MAX(entertainment_preferences_2503[Monthly_Entertainment_Spend])-MIN(entertainment_preferences_2503[Monthly_Entertainment_Spend])</f>
        <v>2491</v>
      </c>
      <c r="O12" s="9">
        <f>MAX(entertainment_preferences_2503[Event_Attendance_per_Year])-MIN(entertainment_preferences_2503[Event_Attendance_per_Year])</f>
        <v>10</v>
      </c>
    </row>
    <row r="13" spans="1:15" x14ac:dyDescent="0.25">
      <c r="A13">
        <v>1196</v>
      </c>
      <c r="B13" t="s">
        <v>52</v>
      </c>
      <c r="C13">
        <v>18</v>
      </c>
      <c r="D13" t="s">
        <v>16</v>
      </c>
      <c r="E13" t="s">
        <v>32</v>
      </c>
      <c r="F13" t="s">
        <v>18</v>
      </c>
      <c r="G13">
        <v>27</v>
      </c>
      <c r="H13">
        <v>564</v>
      </c>
      <c r="I13">
        <v>9</v>
      </c>
      <c r="J13" t="s">
        <v>43</v>
      </c>
      <c r="L13" s="9" t="s">
        <v>77</v>
      </c>
      <c r="M13" s="9">
        <f>_xlfn.VAR.P(entertainment_preferences_2503[Streaming_Hours_per_Week])</f>
        <v>61.163600000000002</v>
      </c>
      <c r="N13" s="9">
        <f>_xlfn.VAR.P(entertainment_preferences_2503[Monthly_Entertainment_Spend])</f>
        <v>476691.18977599998</v>
      </c>
      <c r="O13" s="9">
        <f>_xlfn.VAR.P(entertainment_preferences_2503[Event_Attendance_per_Year])</f>
        <v>11.0816</v>
      </c>
    </row>
    <row r="14" spans="1:15" x14ac:dyDescent="0.25">
      <c r="A14">
        <v>1198</v>
      </c>
      <c r="B14" t="s">
        <v>47</v>
      </c>
      <c r="C14">
        <v>20</v>
      </c>
      <c r="D14" t="s">
        <v>16</v>
      </c>
      <c r="E14" t="s">
        <v>35</v>
      </c>
      <c r="F14" t="s">
        <v>33</v>
      </c>
      <c r="G14">
        <v>8</v>
      </c>
      <c r="H14">
        <v>2716</v>
      </c>
      <c r="I14">
        <v>7</v>
      </c>
      <c r="J14" t="s">
        <v>23</v>
      </c>
      <c r="L14" s="9" t="s">
        <v>78</v>
      </c>
      <c r="M14" s="9">
        <f>SQRT(M13)</f>
        <v>7.820716079746151</v>
      </c>
      <c r="N14" s="9">
        <f t="shared" ref="N14:O14" si="0">SQRT(N13)</f>
        <v>690.4282654816501</v>
      </c>
      <c r="O14" s="9">
        <f t="shared" si="0"/>
        <v>3.3289037234501091</v>
      </c>
    </row>
    <row r="15" spans="1:15" x14ac:dyDescent="0.25">
      <c r="A15">
        <v>1212</v>
      </c>
      <c r="B15" t="s">
        <v>39</v>
      </c>
      <c r="C15">
        <v>20</v>
      </c>
      <c r="D15" t="s">
        <v>11</v>
      </c>
      <c r="E15" t="s">
        <v>32</v>
      </c>
      <c r="F15" t="s">
        <v>13</v>
      </c>
      <c r="G15">
        <v>29</v>
      </c>
      <c r="H15">
        <v>2606</v>
      </c>
      <c r="I15">
        <v>6</v>
      </c>
      <c r="J15" t="s">
        <v>30</v>
      </c>
      <c r="L15" s="9" t="s">
        <v>79</v>
      </c>
      <c r="M15" s="9">
        <f>QUARTILE(entertainment_preferences_2503[Streaming_Hours_per_Week],1)</f>
        <v>11</v>
      </c>
      <c r="N15" s="9">
        <f>QUARTILE(entertainment_preferences_2503[Monthly_Entertainment_Spend],1)</f>
        <v>1078</v>
      </c>
      <c r="O15" s="9">
        <f>QUARTILE(entertainment_preferences_2503[Event_Attendance_per_Year],1)</f>
        <v>2</v>
      </c>
    </row>
    <row r="16" spans="1:15" x14ac:dyDescent="0.25">
      <c r="A16">
        <v>1213</v>
      </c>
      <c r="B16" t="s">
        <v>34</v>
      </c>
      <c r="C16">
        <v>20</v>
      </c>
      <c r="D16" t="s">
        <v>11</v>
      </c>
      <c r="E16" t="s">
        <v>49</v>
      </c>
      <c r="F16" t="s">
        <v>13</v>
      </c>
      <c r="G16">
        <v>11</v>
      </c>
      <c r="H16">
        <v>1447</v>
      </c>
      <c r="I16">
        <v>4</v>
      </c>
      <c r="J16" t="s">
        <v>30</v>
      </c>
      <c r="L16" s="9" t="s">
        <v>80</v>
      </c>
      <c r="M16" s="9">
        <f>QUARTILE(entertainment_preferences_2503[Streaming_Hours_per_Week],3)</f>
        <v>25</v>
      </c>
      <c r="N16" s="9">
        <f>QUARTILE(entertainment_preferences_2503[Monthly_Entertainment_Spend],3)</f>
        <v>2265.25</v>
      </c>
      <c r="O16" s="9">
        <f>QUARTILE(entertainment_preferences_2503[Event_Attendance_per_Year],3)</f>
        <v>8</v>
      </c>
    </row>
    <row r="17" spans="1:15" x14ac:dyDescent="0.25">
      <c r="A17">
        <v>1218</v>
      </c>
      <c r="B17" t="s">
        <v>15</v>
      </c>
      <c r="C17">
        <v>19</v>
      </c>
      <c r="D17" t="s">
        <v>16</v>
      </c>
      <c r="E17" t="s">
        <v>21</v>
      </c>
      <c r="F17" t="s">
        <v>38</v>
      </c>
      <c r="G17">
        <v>15</v>
      </c>
      <c r="H17">
        <v>2352</v>
      </c>
      <c r="I17">
        <v>1</v>
      </c>
      <c r="J17" t="s">
        <v>23</v>
      </c>
      <c r="L17" s="9" t="s">
        <v>81</v>
      </c>
      <c r="M17" s="9">
        <f>M16-M15</f>
        <v>14</v>
      </c>
      <c r="N17" s="9">
        <f t="shared" ref="N17:O17" si="1">N16-N15</f>
        <v>1187.25</v>
      </c>
      <c r="O17" s="9">
        <f t="shared" si="1"/>
        <v>6</v>
      </c>
    </row>
    <row r="18" spans="1:15" x14ac:dyDescent="0.25">
      <c r="A18">
        <v>1224</v>
      </c>
      <c r="B18" t="s">
        <v>28</v>
      </c>
      <c r="C18">
        <v>20</v>
      </c>
      <c r="D18" t="s">
        <v>11</v>
      </c>
      <c r="E18" t="s">
        <v>35</v>
      </c>
      <c r="F18" t="s">
        <v>13</v>
      </c>
      <c r="G18">
        <v>17</v>
      </c>
      <c r="H18">
        <v>867</v>
      </c>
      <c r="I18">
        <v>10</v>
      </c>
      <c r="J18" t="s">
        <v>43</v>
      </c>
      <c r="L18" s="9" t="s">
        <v>82</v>
      </c>
      <c r="M18" s="9">
        <f>M15-1.5*M17</f>
        <v>-10</v>
      </c>
      <c r="N18" s="9">
        <f t="shared" ref="N18:O18" si="2">N15-1.5*N17</f>
        <v>-702.875</v>
      </c>
      <c r="O18" s="9">
        <f t="shared" si="2"/>
        <v>-7</v>
      </c>
    </row>
    <row r="19" spans="1:15" x14ac:dyDescent="0.25">
      <c r="A19">
        <v>1233</v>
      </c>
      <c r="B19" t="s">
        <v>46</v>
      </c>
      <c r="C19">
        <v>20</v>
      </c>
      <c r="D19" t="s">
        <v>16</v>
      </c>
      <c r="E19" t="s">
        <v>12</v>
      </c>
      <c r="F19" t="s">
        <v>22</v>
      </c>
      <c r="G19">
        <v>11</v>
      </c>
      <c r="H19">
        <v>2543</v>
      </c>
      <c r="I19">
        <v>10</v>
      </c>
      <c r="J19" t="s">
        <v>19</v>
      </c>
      <c r="L19" s="9" t="s">
        <v>83</v>
      </c>
      <c r="M19" s="9">
        <f>M16+1.5-M17</f>
        <v>12.5</v>
      </c>
      <c r="N19" s="9">
        <f t="shared" ref="N19:O19" si="3">N16+1.5-N17</f>
        <v>1079.5</v>
      </c>
      <c r="O19" s="9">
        <f t="shared" si="3"/>
        <v>3.5</v>
      </c>
    </row>
    <row r="20" spans="1:15" x14ac:dyDescent="0.25">
      <c r="A20">
        <v>1248</v>
      </c>
      <c r="B20" t="s">
        <v>31</v>
      </c>
      <c r="C20">
        <v>19</v>
      </c>
      <c r="D20" t="s">
        <v>11</v>
      </c>
      <c r="E20" t="s">
        <v>25</v>
      </c>
      <c r="F20" t="s">
        <v>13</v>
      </c>
      <c r="G20">
        <v>29</v>
      </c>
      <c r="H20">
        <v>2306</v>
      </c>
      <c r="I20">
        <v>1</v>
      </c>
      <c r="J20" t="s">
        <v>14</v>
      </c>
      <c r="L20" s="9" t="s">
        <v>84</v>
      </c>
      <c r="M20" s="9">
        <f>CORREL(entertainment_preferences_2503[Streaming_Hours_per_Week],entertainment_preferences_2503[Monthly_Entertainment_Spend])</f>
        <v>8.2717861864040301E-2</v>
      </c>
      <c r="N20" s="9">
        <f>CORREL(entertainment_preferences_2503[Monthly_Entertainment_Spend],entertainment_preferences_2503[Event_Attendance_per_Year])</f>
        <v>-2.4744570808134952E-2</v>
      </c>
      <c r="O20" s="9">
        <f>CORREL(entertainment_preferences_2503[Event_Attendance_per_Year],entertainment_preferences_2503[Streaming_Hours_per_Week])</f>
        <v>4.6185028178228671E-2</v>
      </c>
    </row>
    <row r="21" spans="1:15" x14ac:dyDescent="0.25">
      <c r="A21">
        <v>1004</v>
      </c>
      <c r="B21" t="s">
        <v>24</v>
      </c>
      <c r="C21">
        <v>25</v>
      </c>
      <c r="D21" t="s">
        <v>11</v>
      </c>
      <c r="E21" t="s">
        <v>25</v>
      </c>
      <c r="F21" t="s">
        <v>18</v>
      </c>
      <c r="G21">
        <v>30</v>
      </c>
      <c r="H21">
        <v>2516</v>
      </c>
      <c r="I21">
        <v>7</v>
      </c>
      <c r="J21" t="s">
        <v>23</v>
      </c>
    </row>
    <row r="22" spans="1:15" x14ac:dyDescent="0.25">
      <c r="A22">
        <v>1005</v>
      </c>
      <c r="B22" t="s">
        <v>26</v>
      </c>
      <c r="C22">
        <v>30</v>
      </c>
      <c r="D22" t="s">
        <v>16</v>
      </c>
      <c r="E22" t="s">
        <v>27</v>
      </c>
      <c r="F22" t="s">
        <v>13</v>
      </c>
      <c r="G22">
        <v>13</v>
      </c>
      <c r="H22">
        <v>564</v>
      </c>
      <c r="I22">
        <v>2</v>
      </c>
      <c r="J22" t="s">
        <v>14</v>
      </c>
    </row>
    <row r="23" spans="1:15" x14ac:dyDescent="0.25">
      <c r="A23">
        <v>1006</v>
      </c>
      <c r="B23" t="s">
        <v>28</v>
      </c>
      <c r="C23">
        <v>29</v>
      </c>
      <c r="D23" t="s">
        <v>16</v>
      </c>
      <c r="E23" t="s">
        <v>27</v>
      </c>
      <c r="F23" t="s">
        <v>29</v>
      </c>
      <c r="G23">
        <v>9</v>
      </c>
      <c r="H23">
        <v>1872</v>
      </c>
      <c r="I23">
        <v>2</v>
      </c>
      <c r="J23" t="s">
        <v>30</v>
      </c>
    </row>
    <row r="24" spans="1:15" x14ac:dyDescent="0.25">
      <c r="A24">
        <v>1007</v>
      </c>
      <c r="B24" t="s">
        <v>31</v>
      </c>
      <c r="C24">
        <v>23</v>
      </c>
      <c r="D24" t="s">
        <v>16</v>
      </c>
      <c r="E24" t="s">
        <v>32</v>
      </c>
      <c r="F24" t="s">
        <v>33</v>
      </c>
      <c r="G24">
        <v>5</v>
      </c>
      <c r="H24">
        <v>1446</v>
      </c>
      <c r="I24">
        <v>7</v>
      </c>
      <c r="J24" t="s">
        <v>14</v>
      </c>
    </row>
    <row r="25" spans="1:15" x14ac:dyDescent="0.25">
      <c r="A25">
        <v>1012</v>
      </c>
      <c r="B25" t="s">
        <v>42</v>
      </c>
      <c r="C25">
        <v>22</v>
      </c>
      <c r="D25" t="s">
        <v>11</v>
      </c>
      <c r="E25" t="s">
        <v>17</v>
      </c>
      <c r="F25" t="s">
        <v>18</v>
      </c>
      <c r="G25">
        <v>5</v>
      </c>
      <c r="H25">
        <v>1743</v>
      </c>
      <c r="I25">
        <v>4</v>
      </c>
      <c r="J25" t="s">
        <v>30</v>
      </c>
    </row>
    <row r="26" spans="1:15" x14ac:dyDescent="0.25">
      <c r="A26">
        <v>1015</v>
      </c>
      <c r="B26" t="s">
        <v>37</v>
      </c>
      <c r="C26">
        <v>28</v>
      </c>
      <c r="D26" t="s">
        <v>16</v>
      </c>
      <c r="E26" t="s">
        <v>35</v>
      </c>
      <c r="F26" t="s">
        <v>13</v>
      </c>
      <c r="G26">
        <v>15</v>
      </c>
      <c r="H26">
        <v>1531</v>
      </c>
      <c r="I26">
        <v>8</v>
      </c>
      <c r="J26" t="s">
        <v>43</v>
      </c>
    </row>
    <row r="27" spans="1:15" x14ac:dyDescent="0.25">
      <c r="A27">
        <v>1020</v>
      </c>
      <c r="B27" t="s">
        <v>26</v>
      </c>
      <c r="C27">
        <v>21</v>
      </c>
      <c r="D27" t="s">
        <v>16</v>
      </c>
      <c r="E27" t="s">
        <v>17</v>
      </c>
      <c r="F27" t="s">
        <v>41</v>
      </c>
      <c r="G27">
        <v>25</v>
      </c>
      <c r="H27">
        <v>2831</v>
      </c>
      <c r="I27">
        <v>10</v>
      </c>
      <c r="J27" t="s">
        <v>19</v>
      </c>
    </row>
    <row r="28" spans="1:15" x14ac:dyDescent="0.25">
      <c r="A28">
        <v>1022</v>
      </c>
      <c r="B28" t="s">
        <v>47</v>
      </c>
      <c r="C28">
        <v>26</v>
      </c>
      <c r="D28" t="s">
        <v>16</v>
      </c>
      <c r="E28" t="s">
        <v>35</v>
      </c>
      <c r="F28" t="s">
        <v>41</v>
      </c>
      <c r="G28">
        <v>26</v>
      </c>
      <c r="H28">
        <v>884</v>
      </c>
      <c r="I28">
        <v>10</v>
      </c>
      <c r="J28" t="s">
        <v>30</v>
      </c>
    </row>
    <row r="29" spans="1:15" x14ac:dyDescent="0.25">
      <c r="A29">
        <v>1023</v>
      </c>
      <c r="B29" t="s">
        <v>34</v>
      </c>
      <c r="C29">
        <v>30</v>
      </c>
      <c r="D29" t="s">
        <v>16</v>
      </c>
      <c r="E29" t="s">
        <v>27</v>
      </c>
      <c r="F29" t="s">
        <v>18</v>
      </c>
      <c r="G29">
        <v>23</v>
      </c>
      <c r="H29">
        <v>1359</v>
      </c>
      <c r="I29">
        <v>5</v>
      </c>
      <c r="J29" t="s">
        <v>14</v>
      </c>
    </row>
    <row r="30" spans="1:15" x14ac:dyDescent="0.25">
      <c r="A30">
        <v>1025</v>
      </c>
      <c r="B30" t="s">
        <v>47</v>
      </c>
      <c r="C30">
        <v>25</v>
      </c>
      <c r="D30" t="s">
        <v>16</v>
      </c>
      <c r="E30" t="s">
        <v>35</v>
      </c>
      <c r="F30" t="s">
        <v>13</v>
      </c>
      <c r="G30">
        <v>5</v>
      </c>
      <c r="H30">
        <v>1965</v>
      </c>
      <c r="I30">
        <v>3</v>
      </c>
      <c r="J30" t="s">
        <v>19</v>
      </c>
    </row>
    <row r="31" spans="1:15" x14ac:dyDescent="0.25">
      <c r="A31">
        <v>1026</v>
      </c>
      <c r="B31" t="s">
        <v>39</v>
      </c>
      <c r="C31">
        <v>30</v>
      </c>
      <c r="D31" t="s">
        <v>16</v>
      </c>
      <c r="E31" t="s">
        <v>49</v>
      </c>
      <c r="F31" t="s">
        <v>41</v>
      </c>
      <c r="G31">
        <v>9</v>
      </c>
      <c r="H31">
        <v>2395</v>
      </c>
      <c r="I31">
        <v>6</v>
      </c>
      <c r="J31" t="s">
        <v>30</v>
      </c>
    </row>
    <row r="32" spans="1:15" x14ac:dyDescent="0.25">
      <c r="A32">
        <v>1032</v>
      </c>
      <c r="B32" t="s">
        <v>46</v>
      </c>
      <c r="C32">
        <v>21</v>
      </c>
      <c r="D32" t="s">
        <v>16</v>
      </c>
      <c r="E32" t="s">
        <v>27</v>
      </c>
      <c r="F32" t="s">
        <v>22</v>
      </c>
      <c r="G32">
        <v>18</v>
      </c>
      <c r="H32">
        <v>1716</v>
      </c>
      <c r="I32">
        <v>2</v>
      </c>
      <c r="J32" t="s">
        <v>30</v>
      </c>
    </row>
    <row r="33" spans="1:10" x14ac:dyDescent="0.25">
      <c r="A33">
        <v>1037</v>
      </c>
      <c r="B33" t="s">
        <v>42</v>
      </c>
      <c r="C33">
        <v>28</v>
      </c>
      <c r="D33" t="s">
        <v>16</v>
      </c>
      <c r="E33" t="s">
        <v>35</v>
      </c>
      <c r="F33" t="s">
        <v>22</v>
      </c>
      <c r="G33">
        <v>20</v>
      </c>
      <c r="H33">
        <v>2353</v>
      </c>
      <c r="I33">
        <v>10</v>
      </c>
      <c r="J33" t="s">
        <v>14</v>
      </c>
    </row>
    <row r="34" spans="1:10" x14ac:dyDescent="0.25">
      <c r="A34">
        <v>1047</v>
      </c>
      <c r="B34" t="s">
        <v>37</v>
      </c>
      <c r="C34">
        <v>28</v>
      </c>
      <c r="D34" t="s">
        <v>16</v>
      </c>
      <c r="E34" t="s">
        <v>32</v>
      </c>
      <c r="F34" t="s">
        <v>33</v>
      </c>
      <c r="G34">
        <v>15</v>
      </c>
      <c r="H34">
        <v>2852</v>
      </c>
      <c r="I34">
        <v>7</v>
      </c>
      <c r="J34" t="s">
        <v>23</v>
      </c>
    </row>
    <row r="35" spans="1:10" x14ac:dyDescent="0.25">
      <c r="A35">
        <v>1048</v>
      </c>
      <c r="B35" t="s">
        <v>51</v>
      </c>
      <c r="C35">
        <v>26</v>
      </c>
      <c r="D35" t="s">
        <v>16</v>
      </c>
      <c r="E35" t="s">
        <v>12</v>
      </c>
      <c r="F35" t="s">
        <v>29</v>
      </c>
      <c r="G35">
        <v>26</v>
      </c>
      <c r="H35">
        <v>1401</v>
      </c>
      <c r="I35">
        <v>5</v>
      </c>
      <c r="J35" t="s">
        <v>19</v>
      </c>
    </row>
    <row r="36" spans="1:10" x14ac:dyDescent="0.25">
      <c r="A36">
        <v>1050</v>
      </c>
      <c r="B36" t="s">
        <v>50</v>
      </c>
      <c r="C36">
        <v>24</v>
      </c>
      <c r="D36" t="s">
        <v>11</v>
      </c>
      <c r="E36" t="s">
        <v>12</v>
      </c>
      <c r="F36" t="s">
        <v>22</v>
      </c>
      <c r="G36">
        <v>28</v>
      </c>
      <c r="H36">
        <v>1084</v>
      </c>
      <c r="I36">
        <v>6</v>
      </c>
      <c r="J36" t="s">
        <v>30</v>
      </c>
    </row>
    <row r="37" spans="1:10" x14ac:dyDescent="0.25">
      <c r="A37">
        <v>1052</v>
      </c>
      <c r="B37" t="s">
        <v>52</v>
      </c>
      <c r="C37">
        <v>24</v>
      </c>
      <c r="D37" t="s">
        <v>16</v>
      </c>
      <c r="E37" t="s">
        <v>12</v>
      </c>
      <c r="F37" t="s">
        <v>38</v>
      </c>
      <c r="G37">
        <v>9</v>
      </c>
      <c r="H37">
        <v>1473</v>
      </c>
      <c r="I37">
        <v>6</v>
      </c>
      <c r="J37" t="s">
        <v>14</v>
      </c>
    </row>
    <row r="38" spans="1:10" x14ac:dyDescent="0.25">
      <c r="A38">
        <v>1053</v>
      </c>
      <c r="B38" t="s">
        <v>51</v>
      </c>
      <c r="C38">
        <v>27</v>
      </c>
      <c r="D38" t="s">
        <v>16</v>
      </c>
      <c r="E38" t="s">
        <v>21</v>
      </c>
      <c r="F38" t="s">
        <v>29</v>
      </c>
      <c r="G38">
        <v>7</v>
      </c>
      <c r="H38">
        <v>731</v>
      </c>
      <c r="I38">
        <v>0</v>
      </c>
      <c r="J38" t="s">
        <v>19</v>
      </c>
    </row>
    <row r="39" spans="1:10" x14ac:dyDescent="0.25">
      <c r="A39">
        <v>1067</v>
      </c>
      <c r="B39" t="s">
        <v>31</v>
      </c>
      <c r="C39">
        <v>28</v>
      </c>
      <c r="D39" t="s">
        <v>11</v>
      </c>
      <c r="E39" t="s">
        <v>49</v>
      </c>
      <c r="F39" t="s">
        <v>22</v>
      </c>
      <c r="G39">
        <v>27</v>
      </c>
      <c r="H39">
        <v>558</v>
      </c>
      <c r="I39">
        <v>3</v>
      </c>
      <c r="J39" t="s">
        <v>36</v>
      </c>
    </row>
    <row r="40" spans="1:10" x14ac:dyDescent="0.25">
      <c r="A40">
        <v>1072</v>
      </c>
      <c r="B40" t="s">
        <v>20</v>
      </c>
      <c r="C40">
        <v>24</v>
      </c>
      <c r="D40" t="s">
        <v>11</v>
      </c>
      <c r="E40" t="s">
        <v>32</v>
      </c>
      <c r="F40" t="s">
        <v>41</v>
      </c>
      <c r="G40">
        <v>22</v>
      </c>
      <c r="H40">
        <v>943</v>
      </c>
      <c r="I40">
        <v>5</v>
      </c>
      <c r="J40" t="s">
        <v>14</v>
      </c>
    </row>
    <row r="41" spans="1:10" x14ac:dyDescent="0.25">
      <c r="A41">
        <v>1078</v>
      </c>
      <c r="B41" t="s">
        <v>15</v>
      </c>
      <c r="C41">
        <v>24</v>
      </c>
      <c r="D41" t="s">
        <v>11</v>
      </c>
      <c r="E41" t="s">
        <v>27</v>
      </c>
      <c r="F41" t="s">
        <v>41</v>
      </c>
      <c r="G41">
        <v>6</v>
      </c>
      <c r="H41">
        <v>1771</v>
      </c>
      <c r="I41">
        <v>3</v>
      </c>
      <c r="J41" t="s">
        <v>23</v>
      </c>
    </row>
    <row r="42" spans="1:10" x14ac:dyDescent="0.25">
      <c r="A42">
        <v>1087</v>
      </c>
      <c r="B42" t="s">
        <v>47</v>
      </c>
      <c r="C42">
        <v>25</v>
      </c>
      <c r="D42" t="s">
        <v>11</v>
      </c>
      <c r="E42" t="s">
        <v>35</v>
      </c>
      <c r="F42" t="s">
        <v>13</v>
      </c>
      <c r="G42">
        <v>5</v>
      </c>
      <c r="H42">
        <v>661</v>
      </c>
      <c r="I42">
        <v>6</v>
      </c>
      <c r="J42" t="s">
        <v>36</v>
      </c>
    </row>
    <row r="43" spans="1:10" x14ac:dyDescent="0.25">
      <c r="A43">
        <v>1091</v>
      </c>
      <c r="B43" t="s">
        <v>50</v>
      </c>
      <c r="C43">
        <v>25</v>
      </c>
      <c r="D43" t="s">
        <v>16</v>
      </c>
      <c r="E43" t="s">
        <v>32</v>
      </c>
      <c r="F43" t="s">
        <v>22</v>
      </c>
      <c r="G43">
        <v>13</v>
      </c>
      <c r="H43">
        <v>761</v>
      </c>
      <c r="I43">
        <v>6</v>
      </c>
      <c r="J43" t="s">
        <v>36</v>
      </c>
    </row>
    <row r="44" spans="1:10" x14ac:dyDescent="0.25">
      <c r="A44">
        <v>1097</v>
      </c>
      <c r="B44" t="s">
        <v>46</v>
      </c>
      <c r="C44">
        <v>26</v>
      </c>
      <c r="D44" t="s">
        <v>11</v>
      </c>
      <c r="E44" t="s">
        <v>32</v>
      </c>
      <c r="F44" t="s">
        <v>38</v>
      </c>
      <c r="G44">
        <v>22</v>
      </c>
      <c r="H44">
        <v>691</v>
      </c>
      <c r="I44">
        <v>10</v>
      </c>
      <c r="J44" t="s">
        <v>43</v>
      </c>
    </row>
    <row r="45" spans="1:10" x14ac:dyDescent="0.25">
      <c r="A45">
        <v>1098</v>
      </c>
      <c r="B45" t="s">
        <v>37</v>
      </c>
      <c r="C45">
        <v>25</v>
      </c>
      <c r="D45" t="s">
        <v>11</v>
      </c>
      <c r="E45" t="s">
        <v>49</v>
      </c>
      <c r="F45" t="s">
        <v>22</v>
      </c>
      <c r="G45">
        <v>25</v>
      </c>
      <c r="H45">
        <v>2791</v>
      </c>
      <c r="I45">
        <v>9</v>
      </c>
      <c r="J45" t="s">
        <v>19</v>
      </c>
    </row>
    <row r="46" spans="1:10" x14ac:dyDescent="0.25">
      <c r="A46">
        <v>1099</v>
      </c>
      <c r="B46" t="s">
        <v>37</v>
      </c>
      <c r="C46">
        <v>30</v>
      </c>
      <c r="D46" t="s">
        <v>11</v>
      </c>
      <c r="E46" t="s">
        <v>21</v>
      </c>
      <c r="F46" t="s">
        <v>18</v>
      </c>
      <c r="G46">
        <v>27</v>
      </c>
      <c r="H46">
        <v>1649</v>
      </c>
      <c r="I46">
        <v>5</v>
      </c>
      <c r="J46" t="s">
        <v>43</v>
      </c>
    </row>
    <row r="47" spans="1:10" x14ac:dyDescent="0.25">
      <c r="A47">
        <v>1100</v>
      </c>
      <c r="B47" t="s">
        <v>44</v>
      </c>
      <c r="C47">
        <v>26</v>
      </c>
      <c r="D47" t="s">
        <v>16</v>
      </c>
      <c r="E47" t="s">
        <v>25</v>
      </c>
      <c r="F47" t="s">
        <v>13</v>
      </c>
      <c r="G47">
        <v>25</v>
      </c>
      <c r="H47">
        <v>2194</v>
      </c>
      <c r="I47">
        <v>8</v>
      </c>
      <c r="J47" t="s">
        <v>14</v>
      </c>
    </row>
    <row r="48" spans="1:10" x14ac:dyDescent="0.25">
      <c r="A48">
        <v>1101</v>
      </c>
      <c r="B48" t="s">
        <v>28</v>
      </c>
      <c r="C48">
        <v>30</v>
      </c>
      <c r="D48" t="s">
        <v>11</v>
      </c>
      <c r="E48" t="s">
        <v>12</v>
      </c>
      <c r="F48" t="s">
        <v>22</v>
      </c>
      <c r="G48">
        <v>18</v>
      </c>
      <c r="H48">
        <v>675</v>
      </c>
      <c r="I48">
        <v>10</v>
      </c>
      <c r="J48" t="s">
        <v>23</v>
      </c>
    </row>
    <row r="49" spans="1:10" x14ac:dyDescent="0.25">
      <c r="A49">
        <v>1102</v>
      </c>
      <c r="B49" t="s">
        <v>15</v>
      </c>
      <c r="C49">
        <v>27</v>
      </c>
      <c r="D49" t="s">
        <v>11</v>
      </c>
      <c r="E49" t="s">
        <v>32</v>
      </c>
      <c r="F49" t="s">
        <v>22</v>
      </c>
      <c r="G49">
        <v>12</v>
      </c>
      <c r="H49">
        <v>1179</v>
      </c>
      <c r="I49">
        <v>9</v>
      </c>
      <c r="J49" t="s">
        <v>14</v>
      </c>
    </row>
    <row r="50" spans="1:10" x14ac:dyDescent="0.25">
      <c r="A50">
        <v>1104</v>
      </c>
      <c r="B50" t="s">
        <v>28</v>
      </c>
      <c r="C50">
        <v>26</v>
      </c>
      <c r="D50" t="s">
        <v>11</v>
      </c>
      <c r="E50" t="s">
        <v>35</v>
      </c>
      <c r="F50" t="s">
        <v>33</v>
      </c>
      <c r="G50">
        <v>18</v>
      </c>
      <c r="H50">
        <v>2300</v>
      </c>
      <c r="I50">
        <v>9</v>
      </c>
      <c r="J50" t="s">
        <v>30</v>
      </c>
    </row>
    <row r="51" spans="1:10" x14ac:dyDescent="0.25">
      <c r="A51">
        <v>1106</v>
      </c>
      <c r="B51" t="s">
        <v>31</v>
      </c>
      <c r="C51">
        <v>27</v>
      </c>
      <c r="D51" t="s">
        <v>16</v>
      </c>
      <c r="E51" t="s">
        <v>21</v>
      </c>
      <c r="F51" t="s">
        <v>33</v>
      </c>
      <c r="G51">
        <v>20</v>
      </c>
      <c r="H51">
        <v>814</v>
      </c>
      <c r="I51">
        <v>7</v>
      </c>
      <c r="J51" t="s">
        <v>14</v>
      </c>
    </row>
    <row r="52" spans="1:10" x14ac:dyDescent="0.25">
      <c r="A52">
        <v>1107</v>
      </c>
      <c r="B52" t="s">
        <v>47</v>
      </c>
      <c r="C52">
        <v>26</v>
      </c>
      <c r="D52" t="s">
        <v>16</v>
      </c>
      <c r="E52" t="s">
        <v>49</v>
      </c>
      <c r="F52" t="s">
        <v>13</v>
      </c>
      <c r="G52">
        <v>23</v>
      </c>
      <c r="H52">
        <v>2490</v>
      </c>
      <c r="I52">
        <v>10</v>
      </c>
      <c r="J52" t="s">
        <v>23</v>
      </c>
    </row>
    <row r="53" spans="1:10" x14ac:dyDescent="0.25">
      <c r="A53">
        <v>1108</v>
      </c>
      <c r="B53" t="s">
        <v>48</v>
      </c>
      <c r="C53">
        <v>22</v>
      </c>
      <c r="D53" t="s">
        <v>11</v>
      </c>
      <c r="E53" t="s">
        <v>27</v>
      </c>
      <c r="F53" t="s">
        <v>13</v>
      </c>
      <c r="G53">
        <v>28</v>
      </c>
      <c r="H53">
        <v>1949</v>
      </c>
      <c r="I53">
        <v>2</v>
      </c>
      <c r="J53" t="s">
        <v>30</v>
      </c>
    </row>
    <row r="54" spans="1:10" x14ac:dyDescent="0.25">
      <c r="A54">
        <v>1111</v>
      </c>
      <c r="B54" t="s">
        <v>45</v>
      </c>
      <c r="C54">
        <v>25</v>
      </c>
      <c r="D54" t="s">
        <v>11</v>
      </c>
      <c r="E54" t="s">
        <v>27</v>
      </c>
      <c r="F54" t="s">
        <v>22</v>
      </c>
      <c r="G54">
        <v>30</v>
      </c>
      <c r="H54">
        <v>2784</v>
      </c>
      <c r="I54">
        <v>1</v>
      </c>
      <c r="J54" t="s">
        <v>23</v>
      </c>
    </row>
    <row r="55" spans="1:10" x14ac:dyDescent="0.25">
      <c r="A55">
        <v>1112</v>
      </c>
      <c r="B55" t="s">
        <v>51</v>
      </c>
      <c r="C55">
        <v>29</v>
      </c>
      <c r="D55" t="s">
        <v>11</v>
      </c>
      <c r="E55" t="s">
        <v>32</v>
      </c>
      <c r="F55" t="s">
        <v>22</v>
      </c>
      <c r="G55">
        <v>24</v>
      </c>
      <c r="H55">
        <v>1071</v>
      </c>
      <c r="I55">
        <v>0</v>
      </c>
      <c r="J55" t="s">
        <v>43</v>
      </c>
    </row>
    <row r="56" spans="1:10" x14ac:dyDescent="0.25">
      <c r="A56">
        <v>1118</v>
      </c>
      <c r="B56" t="s">
        <v>46</v>
      </c>
      <c r="C56">
        <v>26</v>
      </c>
      <c r="D56" t="s">
        <v>16</v>
      </c>
      <c r="E56" t="s">
        <v>27</v>
      </c>
      <c r="F56" t="s">
        <v>18</v>
      </c>
      <c r="G56">
        <v>27</v>
      </c>
      <c r="H56">
        <v>1484</v>
      </c>
      <c r="I56">
        <v>6</v>
      </c>
      <c r="J56" t="s">
        <v>19</v>
      </c>
    </row>
    <row r="57" spans="1:10" x14ac:dyDescent="0.25">
      <c r="A57">
        <v>1119</v>
      </c>
      <c r="B57" t="s">
        <v>15</v>
      </c>
      <c r="C57">
        <v>24</v>
      </c>
      <c r="D57" t="s">
        <v>16</v>
      </c>
      <c r="E57" t="s">
        <v>35</v>
      </c>
      <c r="F57" t="s">
        <v>22</v>
      </c>
      <c r="G57">
        <v>25</v>
      </c>
      <c r="H57">
        <v>1253</v>
      </c>
      <c r="I57">
        <v>5</v>
      </c>
      <c r="J57" t="s">
        <v>19</v>
      </c>
    </row>
    <row r="58" spans="1:10" x14ac:dyDescent="0.25">
      <c r="A58">
        <v>1121</v>
      </c>
      <c r="B58" t="s">
        <v>45</v>
      </c>
      <c r="C58">
        <v>26</v>
      </c>
      <c r="D58" t="s">
        <v>16</v>
      </c>
      <c r="E58" t="s">
        <v>32</v>
      </c>
      <c r="F58" t="s">
        <v>13</v>
      </c>
      <c r="G58">
        <v>23</v>
      </c>
      <c r="H58">
        <v>1108</v>
      </c>
      <c r="I58">
        <v>10</v>
      </c>
      <c r="J58" t="s">
        <v>43</v>
      </c>
    </row>
    <row r="59" spans="1:10" x14ac:dyDescent="0.25">
      <c r="A59">
        <v>1124</v>
      </c>
      <c r="B59" t="s">
        <v>42</v>
      </c>
      <c r="C59">
        <v>23</v>
      </c>
      <c r="D59" t="s">
        <v>16</v>
      </c>
      <c r="E59" t="s">
        <v>35</v>
      </c>
      <c r="F59" t="s">
        <v>41</v>
      </c>
      <c r="G59">
        <v>10</v>
      </c>
      <c r="H59">
        <v>707</v>
      </c>
      <c r="I59">
        <v>9</v>
      </c>
      <c r="J59" t="s">
        <v>43</v>
      </c>
    </row>
    <row r="60" spans="1:10" x14ac:dyDescent="0.25">
      <c r="A60">
        <v>1126</v>
      </c>
      <c r="B60" t="s">
        <v>15</v>
      </c>
      <c r="C60">
        <v>25</v>
      </c>
      <c r="D60" t="s">
        <v>11</v>
      </c>
      <c r="E60" t="s">
        <v>49</v>
      </c>
      <c r="F60" t="s">
        <v>22</v>
      </c>
      <c r="G60">
        <v>20</v>
      </c>
      <c r="H60">
        <v>1146</v>
      </c>
      <c r="I60">
        <v>7</v>
      </c>
      <c r="J60" t="s">
        <v>43</v>
      </c>
    </row>
    <row r="61" spans="1:10" x14ac:dyDescent="0.25">
      <c r="A61">
        <v>1137</v>
      </c>
      <c r="B61" t="s">
        <v>52</v>
      </c>
      <c r="C61">
        <v>21</v>
      </c>
      <c r="D61" t="s">
        <v>11</v>
      </c>
      <c r="E61" t="s">
        <v>25</v>
      </c>
      <c r="F61" t="s">
        <v>41</v>
      </c>
      <c r="G61">
        <v>29</v>
      </c>
      <c r="H61">
        <v>2736</v>
      </c>
      <c r="I61">
        <v>2</v>
      </c>
      <c r="J61" t="s">
        <v>23</v>
      </c>
    </row>
    <row r="62" spans="1:10" x14ac:dyDescent="0.25">
      <c r="A62">
        <v>1138</v>
      </c>
      <c r="B62" t="s">
        <v>45</v>
      </c>
      <c r="C62">
        <v>29</v>
      </c>
      <c r="D62" t="s">
        <v>16</v>
      </c>
      <c r="E62" t="s">
        <v>12</v>
      </c>
      <c r="F62" t="s">
        <v>13</v>
      </c>
      <c r="G62">
        <v>22</v>
      </c>
      <c r="H62">
        <v>1676</v>
      </c>
      <c r="I62">
        <v>1</v>
      </c>
      <c r="J62" t="s">
        <v>30</v>
      </c>
    </row>
    <row r="63" spans="1:10" x14ac:dyDescent="0.25">
      <c r="A63">
        <v>1142</v>
      </c>
      <c r="B63" t="s">
        <v>40</v>
      </c>
      <c r="C63">
        <v>30</v>
      </c>
      <c r="D63" t="s">
        <v>11</v>
      </c>
      <c r="E63" t="s">
        <v>17</v>
      </c>
      <c r="F63" t="s">
        <v>18</v>
      </c>
      <c r="G63">
        <v>25</v>
      </c>
      <c r="H63">
        <v>1465</v>
      </c>
      <c r="I63">
        <v>7</v>
      </c>
      <c r="J63" t="s">
        <v>19</v>
      </c>
    </row>
    <row r="64" spans="1:10" x14ac:dyDescent="0.25">
      <c r="A64">
        <v>1143</v>
      </c>
      <c r="B64" t="s">
        <v>47</v>
      </c>
      <c r="C64">
        <v>24</v>
      </c>
      <c r="D64" t="s">
        <v>16</v>
      </c>
      <c r="E64" t="s">
        <v>12</v>
      </c>
      <c r="F64" t="s">
        <v>22</v>
      </c>
      <c r="G64">
        <v>14</v>
      </c>
      <c r="H64">
        <v>1542</v>
      </c>
      <c r="I64">
        <v>10</v>
      </c>
      <c r="J64" t="s">
        <v>14</v>
      </c>
    </row>
    <row r="65" spans="1:10" x14ac:dyDescent="0.25">
      <c r="A65">
        <v>1144</v>
      </c>
      <c r="B65" t="s">
        <v>45</v>
      </c>
      <c r="C65">
        <v>21</v>
      </c>
      <c r="D65" t="s">
        <v>16</v>
      </c>
      <c r="E65" t="s">
        <v>12</v>
      </c>
      <c r="F65" t="s">
        <v>22</v>
      </c>
      <c r="G65">
        <v>10</v>
      </c>
      <c r="H65">
        <v>2584</v>
      </c>
      <c r="I65">
        <v>0</v>
      </c>
      <c r="J65" t="s">
        <v>19</v>
      </c>
    </row>
    <row r="66" spans="1:10" x14ac:dyDescent="0.25">
      <c r="A66">
        <v>1147</v>
      </c>
      <c r="B66" t="s">
        <v>45</v>
      </c>
      <c r="C66">
        <v>22</v>
      </c>
      <c r="D66" t="s">
        <v>11</v>
      </c>
      <c r="E66" t="s">
        <v>32</v>
      </c>
      <c r="F66" t="s">
        <v>29</v>
      </c>
      <c r="G66">
        <v>27</v>
      </c>
      <c r="H66">
        <v>1401</v>
      </c>
      <c r="I66">
        <v>2</v>
      </c>
      <c r="J66" t="s">
        <v>43</v>
      </c>
    </row>
    <row r="67" spans="1:10" x14ac:dyDescent="0.25">
      <c r="A67">
        <v>1148</v>
      </c>
      <c r="B67" t="s">
        <v>46</v>
      </c>
      <c r="C67">
        <v>21</v>
      </c>
      <c r="D67" t="s">
        <v>16</v>
      </c>
      <c r="E67" t="s">
        <v>32</v>
      </c>
      <c r="F67" t="s">
        <v>38</v>
      </c>
      <c r="G67">
        <v>16</v>
      </c>
      <c r="H67">
        <v>1199</v>
      </c>
      <c r="I67">
        <v>2</v>
      </c>
      <c r="J67" t="s">
        <v>43</v>
      </c>
    </row>
    <row r="68" spans="1:10" x14ac:dyDescent="0.25">
      <c r="A68">
        <v>1151</v>
      </c>
      <c r="B68" t="s">
        <v>48</v>
      </c>
      <c r="C68">
        <v>25</v>
      </c>
      <c r="D68" t="s">
        <v>11</v>
      </c>
      <c r="E68" t="s">
        <v>27</v>
      </c>
      <c r="F68" t="s">
        <v>38</v>
      </c>
      <c r="G68">
        <v>13</v>
      </c>
      <c r="H68">
        <v>772</v>
      </c>
      <c r="I68">
        <v>7</v>
      </c>
      <c r="J68" t="s">
        <v>36</v>
      </c>
    </row>
    <row r="69" spans="1:10" x14ac:dyDescent="0.25">
      <c r="A69">
        <v>1154</v>
      </c>
      <c r="B69" t="s">
        <v>46</v>
      </c>
      <c r="C69">
        <v>25</v>
      </c>
      <c r="D69" t="s">
        <v>16</v>
      </c>
      <c r="E69" t="s">
        <v>35</v>
      </c>
      <c r="F69" t="s">
        <v>33</v>
      </c>
      <c r="G69">
        <v>27</v>
      </c>
      <c r="H69">
        <v>1076</v>
      </c>
      <c r="I69">
        <v>5</v>
      </c>
      <c r="J69" t="s">
        <v>36</v>
      </c>
    </row>
    <row r="70" spans="1:10" x14ac:dyDescent="0.25">
      <c r="A70">
        <v>1158</v>
      </c>
      <c r="B70" t="s">
        <v>50</v>
      </c>
      <c r="C70">
        <v>29</v>
      </c>
      <c r="D70" t="s">
        <v>11</v>
      </c>
      <c r="E70" t="s">
        <v>32</v>
      </c>
      <c r="F70" t="s">
        <v>29</v>
      </c>
      <c r="G70">
        <v>17</v>
      </c>
      <c r="H70">
        <v>1150</v>
      </c>
      <c r="I70">
        <v>7</v>
      </c>
      <c r="J70" t="s">
        <v>43</v>
      </c>
    </row>
    <row r="71" spans="1:10" x14ac:dyDescent="0.25">
      <c r="A71">
        <v>1162</v>
      </c>
      <c r="B71" t="s">
        <v>42</v>
      </c>
      <c r="C71">
        <v>22</v>
      </c>
      <c r="D71" t="s">
        <v>16</v>
      </c>
      <c r="E71" t="s">
        <v>25</v>
      </c>
      <c r="F71" t="s">
        <v>18</v>
      </c>
      <c r="G71">
        <v>6</v>
      </c>
      <c r="H71">
        <v>1980</v>
      </c>
      <c r="I71">
        <v>0</v>
      </c>
      <c r="J71" t="s">
        <v>14</v>
      </c>
    </row>
    <row r="72" spans="1:10" x14ac:dyDescent="0.25">
      <c r="A72">
        <v>1167</v>
      </c>
      <c r="B72" t="s">
        <v>51</v>
      </c>
      <c r="C72">
        <v>26</v>
      </c>
      <c r="D72" t="s">
        <v>11</v>
      </c>
      <c r="E72" t="s">
        <v>12</v>
      </c>
      <c r="F72" t="s">
        <v>29</v>
      </c>
      <c r="G72">
        <v>17</v>
      </c>
      <c r="H72">
        <v>1120</v>
      </c>
      <c r="I72">
        <v>4</v>
      </c>
      <c r="J72" t="s">
        <v>36</v>
      </c>
    </row>
    <row r="73" spans="1:10" x14ac:dyDescent="0.25">
      <c r="A73">
        <v>1170</v>
      </c>
      <c r="B73" t="s">
        <v>10</v>
      </c>
      <c r="C73">
        <v>23</v>
      </c>
      <c r="D73" t="s">
        <v>11</v>
      </c>
      <c r="E73" t="s">
        <v>27</v>
      </c>
      <c r="F73" t="s">
        <v>29</v>
      </c>
      <c r="G73">
        <v>29</v>
      </c>
      <c r="H73">
        <v>1889</v>
      </c>
      <c r="I73">
        <v>5</v>
      </c>
      <c r="J73" t="s">
        <v>14</v>
      </c>
    </row>
    <row r="74" spans="1:10" x14ac:dyDescent="0.25">
      <c r="A74">
        <v>1173</v>
      </c>
      <c r="B74" t="s">
        <v>52</v>
      </c>
      <c r="C74">
        <v>21</v>
      </c>
      <c r="D74" t="s">
        <v>16</v>
      </c>
      <c r="E74" t="s">
        <v>35</v>
      </c>
      <c r="F74" t="s">
        <v>29</v>
      </c>
      <c r="G74">
        <v>11</v>
      </c>
      <c r="H74">
        <v>937</v>
      </c>
      <c r="I74">
        <v>8</v>
      </c>
      <c r="J74" t="s">
        <v>36</v>
      </c>
    </row>
    <row r="75" spans="1:10" x14ac:dyDescent="0.25">
      <c r="A75">
        <v>1176</v>
      </c>
      <c r="B75" t="s">
        <v>20</v>
      </c>
      <c r="C75">
        <v>29</v>
      </c>
      <c r="D75" t="s">
        <v>11</v>
      </c>
      <c r="E75" t="s">
        <v>12</v>
      </c>
      <c r="F75" t="s">
        <v>13</v>
      </c>
      <c r="G75">
        <v>22</v>
      </c>
      <c r="H75">
        <v>1278</v>
      </c>
      <c r="I75">
        <v>5</v>
      </c>
      <c r="J75" t="s">
        <v>30</v>
      </c>
    </row>
    <row r="76" spans="1:10" x14ac:dyDescent="0.25">
      <c r="A76">
        <v>1178</v>
      </c>
      <c r="B76" t="s">
        <v>48</v>
      </c>
      <c r="C76">
        <v>25</v>
      </c>
      <c r="D76" t="s">
        <v>16</v>
      </c>
      <c r="E76" t="s">
        <v>12</v>
      </c>
      <c r="F76" t="s">
        <v>29</v>
      </c>
      <c r="G76">
        <v>21</v>
      </c>
      <c r="H76">
        <v>1773</v>
      </c>
      <c r="I76">
        <v>5</v>
      </c>
      <c r="J76" t="s">
        <v>30</v>
      </c>
    </row>
    <row r="77" spans="1:10" x14ac:dyDescent="0.25">
      <c r="A77">
        <v>1182</v>
      </c>
      <c r="B77" t="s">
        <v>34</v>
      </c>
      <c r="C77">
        <v>30</v>
      </c>
      <c r="D77" t="s">
        <v>16</v>
      </c>
      <c r="E77" t="s">
        <v>35</v>
      </c>
      <c r="F77" t="s">
        <v>38</v>
      </c>
      <c r="G77">
        <v>10</v>
      </c>
      <c r="H77">
        <v>2054</v>
      </c>
      <c r="I77">
        <v>9</v>
      </c>
      <c r="J77" t="s">
        <v>23</v>
      </c>
    </row>
    <row r="78" spans="1:10" x14ac:dyDescent="0.25">
      <c r="A78">
        <v>1185</v>
      </c>
      <c r="B78" t="s">
        <v>48</v>
      </c>
      <c r="C78">
        <v>21</v>
      </c>
      <c r="D78" t="s">
        <v>11</v>
      </c>
      <c r="E78" t="s">
        <v>49</v>
      </c>
      <c r="F78" t="s">
        <v>13</v>
      </c>
      <c r="G78">
        <v>21</v>
      </c>
      <c r="H78">
        <v>1702</v>
      </c>
      <c r="I78">
        <v>10</v>
      </c>
      <c r="J78" t="s">
        <v>30</v>
      </c>
    </row>
    <row r="79" spans="1:10" x14ac:dyDescent="0.25">
      <c r="A79">
        <v>1186</v>
      </c>
      <c r="B79" t="s">
        <v>50</v>
      </c>
      <c r="C79">
        <v>26</v>
      </c>
      <c r="D79" t="s">
        <v>11</v>
      </c>
      <c r="E79" t="s">
        <v>27</v>
      </c>
      <c r="F79" t="s">
        <v>29</v>
      </c>
      <c r="G79">
        <v>15</v>
      </c>
      <c r="H79">
        <v>1700</v>
      </c>
      <c r="I79">
        <v>5</v>
      </c>
      <c r="J79" t="s">
        <v>43</v>
      </c>
    </row>
    <row r="80" spans="1:10" x14ac:dyDescent="0.25">
      <c r="A80">
        <v>1189</v>
      </c>
      <c r="B80" t="s">
        <v>15</v>
      </c>
      <c r="C80">
        <v>22</v>
      </c>
      <c r="D80" t="s">
        <v>11</v>
      </c>
      <c r="E80" t="s">
        <v>12</v>
      </c>
      <c r="F80" t="s">
        <v>22</v>
      </c>
      <c r="G80">
        <v>10</v>
      </c>
      <c r="H80">
        <v>1969</v>
      </c>
      <c r="I80">
        <v>10</v>
      </c>
      <c r="J80" t="s">
        <v>23</v>
      </c>
    </row>
    <row r="81" spans="1:10" x14ac:dyDescent="0.25">
      <c r="A81">
        <v>1192</v>
      </c>
      <c r="B81" t="s">
        <v>15</v>
      </c>
      <c r="C81">
        <v>30</v>
      </c>
      <c r="D81" t="s">
        <v>16</v>
      </c>
      <c r="E81" t="s">
        <v>32</v>
      </c>
      <c r="F81" t="s">
        <v>18</v>
      </c>
      <c r="G81">
        <v>10</v>
      </c>
      <c r="H81">
        <v>1909</v>
      </c>
      <c r="I81">
        <v>8</v>
      </c>
      <c r="J81" t="s">
        <v>14</v>
      </c>
    </row>
    <row r="82" spans="1:10" x14ac:dyDescent="0.25">
      <c r="A82">
        <v>1193</v>
      </c>
      <c r="B82" t="s">
        <v>40</v>
      </c>
      <c r="C82">
        <v>26</v>
      </c>
      <c r="D82" t="s">
        <v>11</v>
      </c>
      <c r="E82" t="s">
        <v>12</v>
      </c>
      <c r="F82" t="s">
        <v>41</v>
      </c>
      <c r="G82">
        <v>23</v>
      </c>
      <c r="H82">
        <v>1709</v>
      </c>
      <c r="I82">
        <v>10</v>
      </c>
      <c r="J82" t="s">
        <v>36</v>
      </c>
    </row>
    <row r="83" spans="1:10" x14ac:dyDescent="0.25">
      <c r="A83">
        <v>1195</v>
      </c>
      <c r="B83" t="s">
        <v>31</v>
      </c>
      <c r="C83">
        <v>23</v>
      </c>
      <c r="D83" t="s">
        <v>16</v>
      </c>
      <c r="E83" t="s">
        <v>25</v>
      </c>
      <c r="F83" t="s">
        <v>18</v>
      </c>
      <c r="G83">
        <v>5</v>
      </c>
      <c r="H83">
        <v>1865</v>
      </c>
      <c r="I83">
        <v>4</v>
      </c>
      <c r="J83" t="s">
        <v>30</v>
      </c>
    </row>
    <row r="84" spans="1:10" x14ac:dyDescent="0.25">
      <c r="A84">
        <v>1199</v>
      </c>
      <c r="B84" t="s">
        <v>20</v>
      </c>
      <c r="C84">
        <v>29</v>
      </c>
      <c r="D84" t="s">
        <v>11</v>
      </c>
      <c r="E84" t="s">
        <v>49</v>
      </c>
      <c r="F84" t="s">
        <v>13</v>
      </c>
      <c r="G84">
        <v>29</v>
      </c>
      <c r="H84">
        <v>1330</v>
      </c>
      <c r="I84">
        <v>7</v>
      </c>
      <c r="J84" t="s">
        <v>43</v>
      </c>
    </row>
    <row r="85" spans="1:10" x14ac:dyDescent="0.25">
      <c r="A85">
        <v>1200</v>
      </c>
      <c r="B85" t="s">
        <v>26</v>
      </c>
      <c r="C85">
        <v>24</v>
      </c>
      <c r="D85" t="s">
        <v>11</v>
      </c>
      <c r="E85" t="s">
        <v>49</v>
      </c>
      <c r="F85" t="s">
        <v>38</v>
      </c>
      <c r="G85">
        <v>25</v>
      </c>
      <c r="H85">
        <v>1440</v>
      </c>
      <c r="I85">
        <v>9</v>
      </c>
      <c r="J85" t="s">
        <v>19</v>
      </c>
    </row>
    <row r="86" spans="1:10" x14ac:dyDescent="0.25">
      <c r="A86">
        <v>1201</v>
      </c>
      <c r="B86" t="s">
        <v>39</v>
      </c>
      <c r="C86">
        <v>27</v>
      </c>
      <c r="D86" t="s">
        <v>11</v>
      </c>
      <c r="E86" t="s">
        <v>35</v>
      </c>
      <c r="F86" t="s">
        <v>33</v>
      </c>
      <c r="G86">
        <v>18</v>
      </c>
      <c r="H86">
        <v>923</v>
      </c>
      <c r="I86">
        <v>2</v>
      </c>
      <c r="J86" t="s">
        <v>43</v>
      </c>
    </row>
    <row r="87" spans="1:10" x14ac:dyDescent="0.25">
      <c r="A87">
        <v>1205</v>
      </c>
      <c r="B87" t="s">
        <v>15</v>
      </c>
      <c r="C87">
        <v>26</v>
      </c>
      <c r="D87" t="s">
        <v>11</v>
      </c>
      <c r="E87" t="s">
        <v>32</v>
      </c>
      <c r="F87" t="s">
        <v>22</v>
      </c>
      <c r="G87">
        <v>25</v>
      </c>
      <c r="H87">
        <v>2266</v>
      </c>
      <c r="I87">
        <v>6</v>
      </c>
      <c r="J87" t="s">
        <v>36</v>
      </c>
    </row>
    <row r="88" spans="1:10" x14ac:dyDescent="0.25">
      <c r="A88">
        <v>1206</v>
      </c>
      <c r="B88" t="s">
        <v>28</v>
      </c>
      <c r="C88">
        <v>29</v>
      </c>
      <c r="D88" t="s">
        <v>16</v>
      </c>
      <c r="E88" t="s">
        <v>25</v>
      </c>
      <c r="F88" t="s">
        <v>13</v>
      </c>
      <c r="G88">
        <v>24</v>
      </c>
      <c r="H88">
        <v>2306</v>
      </c>
      <c r="I88">
        <v>0</v>
      </c>
      <c r="J88" t="s">
        <v>19</v>
      </c>
    </row>
    <row r="89" spans="1:10" x14ac:dyDescent="0.25">
      <c r="A89">
        <v>1208</v>
      </c>
      <c r="B89" t="s">
        <v>45</v>
      </c>
      <c r="C89">
        <v>30</v>
      </c>
      <c r="D89" t="s">
        <v>16</v>
      </c>
      <c r="E89" t="s">
        <v>25</v>
      </c>
      <c r="F89" t="s">
        <v>33</v>
      </c>
      <c r="G89">
        <v>28</v>
      </c>
      <c r="H89">
        <v>1997</v>
      </c>
      <c r="I89">
        <v>1</v>
      </c>
      <c r="J89" t="s">
        <v>43</v>
      </c>
    </row>
    <row r="90" spans="1:10" x14ac:dyDescent="0.25">
      <c r="A90">
        <v>1210</v>
      </c>
      <c r="B90" t="s">
        <v>34</v>
      </c>
      <c r="C90">
        <v>28</v>
      </c>
      <c r="D90" t="s">
        <v>11</v>
      </c>
      <c r="E90" t="s">
        <v>32</v>
      </c>
      <c r="F90" t="s">
        <v>29</v>
      </c>
      <c r="G90">
        <v>15</v>
      </c>
      <c r="H90">
        <v>1842</v>
      </c>
      <c r="I90">
        <v>7</v>
      </c>
      <c r="J90" t="s">
        <v>30</v>
      </c>
    </row>
    <row r="91" spans="1:10" x14ac:dyDescent="0.25">
      <c r="A91">
        <v>1216</v>
      </c>
      <c r="B91" t="s">
        <v>39</v>
      </c>
      <c r="C91">
        <v>24</v>
      </c>
      <c r="D91" t="s">
        <v>11</v>
      </c>
      <c r="E91" t="s">
        <v>35</v>
      </c>
      <c r="F91" t="s">
        <v>13</v>
      </c>
      <c r="G91">
        <v>6</v>
      </c>
      <c r="H91">
        <v>998</v>
      </c>
      <c r="I91">
        <v>2</v>
      </c>
      <c r="J91" t="s">
        <v>43</v>
      </c>
    </row>
    <row r="92" spans="1:10" x14ac:dyDescent="0.25">
      <c r="A92">
        <v>1217</v>
      </c>
      <c r="B92" t="s">
        <v>26</v>
      </c>
      <c r="C92">
        <v>21</v>
      </c>
      <c r="D92" t="s">
        <v>11</v>
      </c>
      <c r="E92" t="s">
        <v>17</v>
      </c>
      <c r="F92" t="s">
        <v>22</v>
      </c>
      <c r="G92">
        <v>5</v>
      </c>
      <c r="H92">
        <v>875</v>
      </c>
      <c r="I92">
        <v>4</v>
      </c>
      <c r="J92" t="s">
        <v>23</v>
      </c>
    </row>
    <row r="93" spans="1:10" x14ac:dyDescent="0.25">
      <c r="A93">
        <v>1219</v>
      </c>
      <c r="B93" t="s">
        <v>34</v>
      </c>
      <c r="C93">
        <v>25</v>
      </c>
      <c r="D93" t="s">
        <v>16</v>
      </c>
      <c r="E93" t="s">
        <v>27</v>
      </c>
      <c r="F93" t="s">
        <v>18</v>
      </c>
      <c r="G93">
        <v>30</v>
      </c>
      <c r="H93">
        <v>1996</v>
      </c>
      <c r="I93">
        <v>2</v>
      </c>
      <c r="J93" t="s">
        <v>14</v>
      </c>
    </row>
    <row r="94" spans="1:10" x14ac:dyDescent="0.25">
      <c r="A94">
        <v>1221</v>
      </c>
      <c r="B94" t="s">
        <v>37</v>
      </c>
      <c r="C94">
        <v>24</v>
      </c>
      <c r="D94" t="s">
        <v>11</v>
      </c>
      <c r="E94" t="s">
        <v>21</v>
      </c>
      <c r="F94" t="s">
        <v>29</v>
      </c>
      <c r="G94">
        <v>29</v>
      </c>
      <c r="H94">
        <v>1503</v>
      </c>
      <c r="I94">
        <v>2</v>
      </c>
      <c r="J94" t="s">
        <v>30</v>
      </c>
    </row>
    <row r="95" spans="1:10" x14ac:dyDescent="0.25">
      <c r="A95">
        <v>1222</v>
      </c>
      <c r="B95" t="s">
        <v>34</v>
      </c>
      <c r="C95">
        <v>21</v>
      </c>
      <c r="D95" t="s">
        <v>11</v>
      </c>
      <c r="E95" t="s">
        <v>49</v>
      </c>
      <c r="F95" t="s">
        <v>13</v>
      </c>
      <c r="G95">
        <v>26</v>
      </c>
      <c r="H95">
        <v>2261</v>
      </c>
      <c r="I95">
        <v>3</v>
      </c>
      <c r="J95" t="s">
        <v>43</v>
      </c>
    </row>
    <row r="96" spans="1:10" x14ac:dyDescent="0.25">
      <c r="A96">
        <v>1231</v>
      </c>
      <c r="B96" t="s">
        <v>46</v>
      </c>
      <c r="C96">
        <v>22</v>
      </c>
      <c r="D96" t="s">
        <v>16</v>
      </c>
      <c r="E96" t="s">
        <v>32</v>
      </c>
      <c r="F96" t="s">
        <v>33</v>
      </c>
      <c r="G96">
        <v>12</v>
      </c>
      <c r="H96">
        <v>1732</v>
      </c>
      <c r="I96">
        <v>0</v>
      </c>
      <c r="J96" t="s">
        <v>19</v>
      </c>
    </row>
    <row r="97" spans="1:10" x14ac:dyDescent="0.25">
      <c r="A97">
        <v>1236</v>
      </c>
      <c r="B97" t="s">
        <v>34</v>
      </c>
      <c r="C97">
        <v>23</v>
      </c>
      <c r="D97" t="s">
        <v>11</v>
      </c>
      <c r="E97" t="s">
        <v>32</v>
      </c>
      <c r="F97" t="s">
        <v>22</v>
      </c>
      <c r="G97">
        <v>25</v>
      </c>
      <c r="H97">
        <v>976</v>
      </c>
      <c r="I97">
        <v>3</v>
      </c>
      <c r="J97" t="s">
        <v>36</v>
      </c>
    </row>
    <row r="98" spans="1:10" x14ac:dyDescent="0.25">
      <c r="A98">
        <v>1237</v>
      </c>
      <c r="B98" t="s">
        <v>51</v>
      </c>
      <c r="C98">
        <v>30</v>
      </c>
      <c r="D98" t="s">
        <v>16</v>
      </c>
      <c r="E98" t="s">
        <v>21</v>
      </c>
      <c r="F98" t="s">
        <v>18</v>
      </c>
      <c r="G98">
        <v>17</v>
      </c>
      <c r="H98">
        <v>2378</v>
      </c>
      <c r="I98">
        <v>3</v>
      </c>
      <c r="J98" t="s">
        <v>14</v>
      </c>
    </row>
    <row r="99" spans="1:10" x14ac:dyDescent="0.25">
      <c r="A99">
        <v>1240</v>
      </c>
      <c r="B99" t="s">
        <v>42</v>
      </c>
      <c r="C99">
        <v>24</v>
      </c>
      <c r="D99" t="s">
        <v>16</v>
      </c>
      <c r="E99" t="s">
        <v>17</v>
      </c>
      <c r="F99" t="s">
        <v>22</v>
      </c>
      <c r="G99">
        <v>6</v>
      </c>
      <c r="H99">
        <v>1853</v>
      </c>
      <c r="I99">
        <v>8</v>
      </c>
      <c r="J99" t="s">
        <v>23</v>
      </c>
    </row>
    <row r="100" spans="1:10" x14ac:dyDescent="0.25">
      <c r="A100">
        <v>1244</v>
      </c>
      <c r="B100" t="s">
        <v>40</v>
      </c>
      <c r="C100">
        <v>25</v>
      </c>
      <c r="D100" t="s">
        <v>16</v>
      </c>
      <c r="E100" t="s">
        <v>27</v>
      </c>
      <c r="F100" t="s">
        <v>13</v>
      </c>
      <c r="G100">
        <v>23</v>
      </c>
      <c r="H100">
        <v>865</v>
      </c>
      <c r="I100">
        <v>5</v>
      </c>
      <c r="J100" t="s">
        <v>14</v>
      </c>
    </row>
    <row r="101" spans="1:10" x14ac:dyDescent="0.25">
      <c r="A101">
        <v>1246</v>
      </c>
      <c r="B101" t="s">
        <v>42</v>
      </c>
      <c r="C101">
        <v>21</v>
      </c>
      <c r="D101" t="s">
        <v>16</v>
      </c>
      <c r="E101" t="s">
        <v>25</v>
      </c>
      <c r="F101" t="s">
        <v>18</v>
      </c>
      <c r="G101">
        <v>8</v>
      </c>
      <c r="H101">
        <v>1826</v>
      </c>
      <c r="I101">
        <v>2</v>
      </c>
      <c r="J101" t="s">
        <v>43</v>
      </c>
    </row>
    <row r="102" spans="1:10" x14ac:dyDescent="0.25">
      <c r="A102">
        <v>1001</v>
      </c>
      <c r="B102" t="s">
        <v>10</v>
      </c>
      <c r="C102">
        <v>37</v>
      </c>
      <c r="D102" t="s">
        <v>11</v>
      </c>
      <c r="E102" t="s">
        <v>12</v>
      </c>
      <c r="F102" t="s">
        <v>13</v>
      </c>
      <c r="G102">
        <v>13</v>
      </c>
      <c r="H102">
        <v>856</v>
      </c>
      <c r="I102">
        <v>8</v>
      </c>
      <c r="J102" t="s">
        <v>14</v>
      </c>
    </row>
    <row r="103" spans="1:10" x14ac:dyDescent="0.25">
      <c r="A103">
        <v>1009</v>
      </c>
      <c r="B103" t="s">
        <v>37</v>
      </c>
      <c r="C103">
        <v>39</v>
      </c>
      <c r="D103" t="s">
        <v>11</v>
      </c>
      <c r="E103" t="s">
        <v>35</v>
      </c>
      <c r="F103" t="s">
        <v>38</v>
      </c>
      <c r="G103">
        <v>18</v>
      </c>
      <c r="H103">
        <v>2124</v>
      </c>
      <c r="I103">
        <v>9</v>
      </c>
      <c r="J103" t="s">
        <v>30</v>
      </c>
    </row>
    <row r="104" spans="1:10" x14ac:dyDescent="0.25">
      <c r="A104">
        <v>1010</v>
      </c>
      <c r="B104" t="s">
        <v>39</v>
      </c>
      <c r="C104">
        <v>34</v>
      </c>
      <c r="D104" t="s">
        <v>16</v>
      </c>
      <c r="E104" t="s">
        <v>35</v>
      </c>
      <c r="F104" t="s">
        <v>38</v>
      </c>
      <c r="G104">
        <v>30</v>
      </c>
      <c r="H104">
        <v>1684</v>
      </c>
      <c r="I104">
        <v>4</v>
      </c>
      <c r="J104" t="s">
        <v>14</v>
      </c>
    </row>
    <row r="105" spans="1:10" x14ac:dyDescent="0.25">
      <c r="A105">
        <v>1011</v>
      </c>
      <c r="B105" t="s">
        <v>40</v>
      </c>
      <c r="C105">
        <v>35</v>
      </c>
      <c r="D105" t="s">
        <v>16</v>
      </c>
      <c r="E105" t="s">
        <v>17</v>
      </c>
      <c r="F105" t="s">
        <v>41</v>
      </c>
      <c r="G105">
        <v>26</v>
      </c>
      <c r="H105">
        <v>507</v>
      </c>
      <c r="I105">
        <v>10</v>
      </c>
      <c r="J105" t="s">
        <v>23</v>
      </c>
    </row>
    <row r="106" spans="1:10" x14ac:dyDescent="0.25">
      <c r="A106">
        <v>1014</v>
      </c>
      <c r="B106" t="s">
        <v>44</v>
      </c>
      <c r="C106">
        <v>36</v>
      </c>
      <c r="D106" t="s">
        <v>16</v>
      </c>
      <c r="E106" t="s">
        <v>17</v>
      </c>
      <c r="F106" t="s">
        <v>22</v>
      </c>
      <c r="G106">
        <v>16</v>
      </c>
      <c r="H106">
        <v>1439</v>
      </c>
      <c r="I106">
        <v>8</v>
      </c>
      <c r="J106" t="s">
        <v>36</v>
      </c>
    </row>
    <row r="107" spans="1:10" x14ac:dyDescent="0.25">
      <c r="A107">
        <v>1016</v>
      </c>
      <c r="B107" t="s">
        <v>31</v>
      </c>
      <c r="C107">
        <v>36</v>
      </c>
      <c r="D107" t="s">
        <v>16</v>
      </c>
      <c r="E107" t="s">
        <v>35</v>
      </c>
      <c r="F107" t="s">
        <v>18</v>
      </c>
      <c r="G107">
        <v>14</v>
      </c>
      <c r="H107">
        <v>1512</v>
      </c>
      <c r="I107">
        <v>9</v>
      </c>
      <c r="J107" t="s">
        <v>14</v>
      </c>
    </row>
    <row r="108" spans="1:10" x14ac:dyDescent="0.25">
      <c r="A108">
        <v>1018</v>
      </c>
      <c r="B108" t="s">
        <v>45</v>
      </c>
      <c r="C108">
        <v>31</v>
      </c>
      <c r="D108" t="s">
        <v>16</v>
      </c>
      <c r="E108" t="s">
        <v>27</v>
      </c>
      <c r="F108" t="s">
        <v>41</v>
      </c>
      <c r="G108">
        <v>23</v>
      </c>
      <c r="H108">
        <v>568</v>
      </c>
      <c r="I108">
        <v>8</v>
      </c>
      <c r="J108" t="s">
        <v>19</v>
      </c>
    </row>
    <row r="109" spans="1:10" x14ac:dyDescent="0.25">
      <c r="A109">
        <v>1021</v>
      </c>
      <c r="B109" t="s">
        <v>46</v>
      </c>
      <c r="C109">
        <v>36</v>
      </c>
      <c r="D109" t="s">
        <v>11</v>
      </c>
      <c r="E109" t="s">
        <v>32</v>
      </c>
      <c r="F109" t="s">
        <v>33</v>
      </c>
      <c r="G109">
        <v>11</v>
      </c>
      <c r="H109">
        <v>2607</v>
      </c>
      <c r="I109">
        <v>7</v>
      </c>
      <c r="J109" t="s">
        <v>23</v>
      </c>
    </row>
    <row r="110" spans="1:10" x14ac:dyDescent="0.25">
      <c r="A110">
        <v>1024</v>
      </c>
      <c r="B110" t="s">
        <v>48</v>
      </c>
      <c r="C110">
        <v>34</v>
      </c>
      <c r="D110" t="s">
        <v>16</v>
      </c>
      <c r="E110" t="s">
        <v>49</v>
      </c>
      <c r="F110" t="s">
        <v>41</v>
      </c>
      <c r="G110">
        <v>19</v>
      </c>
      <c r="H110">
        <v>757</v>
      </c>
      <c r="I110">
        <v>3</v>
      </c>
      <c r="J110" t="s">
        <v>19</v>
      </c>
    </row>
    <row r="111" spans="1:10" x14ac:dyDescent="0.25">
      <c r="A111">
        <v>1029</v>
      </c>
      <c r="B111" t="s">
        <v>45</v>
      </c>
      <c r="C111">
        <v>36</v>
      </c>
      <c r="D111" t="s">
        <v>11</v>
      </c>
      <c r="E111" t="s">
        <v>27</v>
      </c>
      <c r="F111" t="s">
        <v>18</v>
      </c>
      <c r="G111">
        <v>7</v>
      </c>
      <c r="H111">
        <v>2263</v>
      </c>
      <c r="I111">
        <v>3</v>
      </c>
      <c r="J111" t="s">
        <v>14</v>
      </c>
    </row>
    <row r="112" spans="1:10" x14ac:dyDescent="0.25">
      <c r="A112">
        <v>1030</v>
      </c>
      <c r="B112" t="s">
        <v>34</v>
      </c>
      <c r="C112">
        <v>36</v>
      </c>
      <c r="D112" t="s">
        <v>11</v>
      </c>
      <c r="E112" t="s">
        <v>35</v>
      </c>
      <c r="F112" t="s">
        <v>18</v>
      </c>
      <c r="G112">
        <v>29</v>
      </c>
      <c r="H112">
        <v>733</v>
      </c>
      <c r="I112">
        <v>5</v>
      </c>
      <c r="J112" t="s">
        <v>14</v>
      </c>
    </row>
    <row r="113" spans="1:10" x14ac:dyDescent="0.25">
      <c r="A113">
        <v>1034</v>
      </c>
      <c r="B113" t="s">
        <v>48</v>
      </c>
      <c r="C113">
        <v>37</v>
      </c>
      <c r="D113" t="s">
        <v>16</v>
      </c>
      <c r="E113" t="s">
        <v>21</v>
      </c>
      <c r="F113" t="s">
        <v>18</v>
      </c>
      <c r="G113">
        <v>29</v>
      </c>
      <c r="H113">
        <v>1106</v>
      </c>
      <c r="I113">
        <v>9</v>
      </c>
      <c r="J113" t="s">
        <v>14</v>
      </c>
    </row>
    <row r="114" spans="1:10" x14ac:dyDescent="0.25">
      <c r="A114">
        <v>1035</v>
      </c>
      <c r="B114" t="s">
        <v>10</v>
      </c>
      <c r="C114">
        <v>40</v>
      </c>
      <c r="D114" t="s">
        <v>11</v>
      </c>
      <c r="E114" t="s">
        <v>12</v>
      </c>
      <c r="F114" t="s">
        <v>29</v>
      </c>
      <c r="G114">
        <v>22</v>
      </c>
      <c r="H114">
        <v>1488</v>
      </c>
      <c r="I114">
        <v>9</v>
      </c>
      <c r="J114" t="s">
        <v>23</v>
      </c>
    </row>
    <row r="115" spans="1:10" x14ac:dyDescent="0.25">
      <c r="A115">
        <v>1039</v>
      </c>
      <c r="B115" t="s">
        <v>26</v>
      </c>
      <c r="C115">
        <v>32</v>
      </c>
      <c r="D115" t="s">
        <v>16</v>
      </c>
      <c r="E115" t="s">
        <v>21</v>
      </c>
      <c r="F115" t="s">
        <v>41</v>
      </c>
      <c r="G115">
        <v>15</v>
      </c>
      <c r="H115">
        <v>2569</v>
      </c>
      <c r="I115">
        <v>6</v>
      </c>
      <c r="J115" t="s">
        <v>43</v>
      </c>
    </row>
    <row r="116" spans="1:10" x14ac:dyDescent="0.25">
      <c r="A116">
        <v>1040</v>
      </c>
      <c r="B116" t="s">
        <v>42</v>
      </c>
      <c r="C116">
        <v>35</v>
      </c>
      <c r="D116" t="s">
        <v>16</v>
      </c>
      <c r="E116" t="s">
        <v>49</v>
      </c>
      <c r="F116" t="s">
        <v>29</v>
      </c>
      <c r="G116">
        <v>19</v>
      </c>
      <c r="H116">
        <v>2995</v>
      </c>
      <c r="I116">
        <v>0</v>
      </c>
      <c r="J116" t="s">
        <v>30</v>
      </c>
    </row>
    <row r="117" spans="1:10" x14ac:dyDescent="0.25">
      <c r="A117">
        <v>1044</v>
      </c>
      <c r="B117" t="s">
        <v>37</v>
      </c>
      <c r="C117">
        <v>40</v>
      </c>
      <c r="D117" t="s">
        <v>16</v>
      </c>
      <c r="E117" t="s">
        <v>49</v>
      </c>
      <c r="F117" t="s">
        <v>41</v>
      </c>
      <c r="G117">
        <v>8</v>
      </c>
      <c r="H117">
        <v>2463</v>
      </c>
      <c r="I117">
        <v>0</v>
      </c>
      <c r="J117" t="s">
        <v>19</v>
      </c>
    </row>
    <row r="118" spans="1:10" x14ac:dyDescent="0.25">
      <c r="A118">
        <v>1046</v>
      </c>
      <c r="B118" t="s">
        <v>50</v>
      </c>
      <c r="C118">
        <v>34</v>
      </c>
      <c r="D118" t="s">
        <v>16</v>
      </c>
      <c r="E118" t="s">
        <v>32</v>
      </c>
      <c r="F118" t="s">
        <v>22</v>
      </c>
      <c r="G118">
        <v>6</v>
      </c>
      <c r="H118">
        <v>2910</v>
      </c>
      <c r="I118">
        <v>9</v>
      </c>
      <c r="J118" t="s">
        <v>23</v>
      </c>
    </row>
    <row r="119" spans="1:10" x14ac:dyDescent="0.25">
      <c r="A119">
        <v>1049</v>
      </c>
      <c r="B119" t="s">
        <v>51</v>
      </c>
      <c r="C119">
        <v>32</v>
      </c>
      <c r="D119" t="s">
        <v>16</v>
      </c>
      <c r="E119" t="s">
        <v>32</v>
      </c>
      <c r="F119" t="s">
        <v>38</v>
      </c>
      <c r="G119">
        <v>21</v>
      </c>
      <c r="H119">
        <v>1320</v>
      </c>
      <c r="I119">
        <v>2</v>
      </c>
      <c r="J119" t="s">
        <v>14</v>
      </c>
    </row>
    <row r="120" spans="1:10" x14ac:dyDescent="0.25">
      <c r="A120">
        <v>1051</v>
      </c>
      <c r="B120" t="s">
        <v>47</v>
      </c>
      <c r="C120">
        <v>32</v>
      </c>
      <c r="D120" t="s">
        <v>11</v>
      </c>
      <c r="E120" t="s">
        <v>12</v>
      </c>
      <c r="F120" t="s">
        <v>41</v>
      </c>
      <c r="G120">
        <v>15</v>
      </c>
      <c r="H120">
        <v>1252</v>
      </c>
      <c r="I120">
        <v>2</v>
      </c>
      <c r="J120" t="s">
        <v>14</v>
      </c>
    </row>
    <row r="121" spans="1:10" x14ac:dyDescent="0.25">
      <c r="A121">
        <v>1054</v>
      </c>
      <c r="B121" t="s">
        <v>26</v>
      </c>
      <c r="C121">
        <v>33</v>
      </c>
      <c r="D121" t="s">
        <v>11</v>
      </c>
      <c r="E121" t="s">
        <v>35</v>
      </c>
      <c r="F121" t="s">
        <v>41</v>
      </c>
      <c r="G121">
        <v>8</v>
      </c>
      <c r="H121">
        <v>1288</v>
      </c>
      <c r="I121">
        <v>5</v>
      </c>
      <c r="J121" t="s">
        <v>19</v>
      </c>
    </row>
    <row r="122" spans="1:10" x14ac:dyDescent="0.25">
      <c r="A122">
        <v>1055</v>
      </c>
      <c r="B122" t="s">
        <v>48</v>
      </c>
      <c r="C122">
        <v>40</v>
      </c>
      <c r="D122" t="s">
        <v>11</v>
      </c>
      <c r="E122" t="s">
        <v>49</v>
      </c>
      <c r="F122" t="s">
        <v>22</v>
      </c>
      <c r="G122">
        <v>24</v>
      </c>
      <c r="H122">
        <v>2842</v>
      </c>
      <c r="I122">
        <v>5</v>
      </c>
      <c r="J122" t="s">
        <v>23</v>
      </c>
    </row>
    <row r="123" spans="1:10" x14ac:dyDescent="0.25">
      <c r="A123">
        <v>1057</v>
      </c>
      <c r="B123" t="s">
        <v>15</v>
      </c>
      <c r="C123">
        <v>40</v>
      </c>
      <c r="D123" t="s">
        <v>16</v>
      </c>
      <c r="E123" t="s">
        <v>12</v>
      </c>
      <c r="F123" t="s">
        <v>22</v>
      </c>
      <c r="G123">
        <v>13</v>
      </c>
      <c r="H123">
        <v>994</v>
      </c>
      <c r="I123">
        <v>8</v>
      </c>
      <c r="J123" t="s">
        <v>19</v>
      </c>
    </row>
    <row r="124" spans="1:10" x14ac:dyDescent="0.25">
      <c r="A124">
        <v>1058</v>
      </c>
      <c r="B124" t="s">
        <v>44</v>
      </c>
      <c r="C124">
        <v>31</v>
      </c>
      <c r="D124" t="s">
        <v>16</v>
      </c>
      <c r="E124" t="s">
        <v>21</v>
      </c>
      <c r="F124" t="s">
        <v>33</v>
      </c>
      <c r="G124">
        <v>22</v>
      </c>
      <c r="H124">
        <v>2067</v>
      </c>
      <c r="I124">
        <v>2</v>
      </c>
      <c r="J124" t="s">
        <v>14</v>
      </c>
    </row>
    <row r="125" spans="1:10" x14ac:dyDescent="0.25">
      <c r="A125">
        <v>1063</v>
      </c>
      <c r="B125" t="s">
        <v>20</v>
      </c>
      <c r="C125">
        <v>40</v>
      </c>
      <c r="D125" t="s">
        <v>11</v>
      </c>
      <c r="E125" t="s">
        <v>27</v>
      </c>
      <c r="F125" t="s">
        <v>38</v>
      </c>
      <c r="G125">
        <v>22</v>
      </c>
      <c r="H125">
        <v>2472</v>
      </c>
      <c r="I125">
        <v>9</v>
      </c>
      <c r="J125" t="s">
        <v>30</v>
      </c>
    </row>
    <row r="126" spans="1:10" x14ac:dyDescent="0.25">
      <c r="A126">
        <v>1065</v>
      </c>
      <c r="B126" t="s">
        <v>28</v>
      </c>
      <c r="C126">
        <v>33</v>
      </c>
      <c r="D126" t="s">
        <v>11</v>
      </c>
      <c r="E126" t="s">
        <v>49</v>
      </c>
      <c r="F126" t="s">
        <v>13</v>
      </c>
      <c r="G126">
        <v>27</v>
      </c>
      <c r="H126">
        <v>1764</v>
      </c>
      <c r="I126">
        <v>0</v>
      </c>
      <c r="J126" t="s">
        <v>19</v>
      </c>
    </row>
    <row r="127" spans="1:10" x14ac:dyDescent="0.25">
      <c r="A127">
        <v>1066</v>
      </c>
      <c r="B127" t="s">
        <v>34</v>
      </c>
      <c r="C127">
        <v>32</v>
      </c>
      <c r="D127" t="s">
        <v>16</v>
      </c>
      <c r="E127" t="s">
        <v>49</v>
      </c>
      <c r="F127" t="s">
        <v>33</v>
      </c>
      <c r="G127">
        <v>12</v>
      </c>
      <c r="H127">
        <v>1827</v>
      </c>
      <c r="I127">
        <v>5</v>
      </c>
      <c r="J127" t="s">
        <v>36</v>
      </c>
    </row>
    <row r="128" spans="1:10" x14ac:dyDescent="0.25">
      <c r="A128">
        <v>1068</v>
      </c>
      <c r="B128" t="s">
        <v>31</v>
      </c>
      <c r="C128">
        <v>36</v>
      </c>
      <c r="D128" t="s">
        <v>11</v>
      </c>
      <c r="E128" t="s">
        <v>49</v>
      </c>
      <c r="F128" t="s">
        <v>18</v>
      </c>
      <c r="G128">
        <v>21</v>
      </c>
      <c r="H128">
        <v>692</v>
      </c>
      <c r="I128">
        <v>9</v>
      </c>
      <c r="J128" t="s">
        <v>30</v>
      </c>
    </row>
    <row r="129" spans="1:10" x14ac:dyDescent="0.25">
      <c r="A129">
        <v>1070</v>
      </c>
      <c r="B129" t="s">
        <v>26</v>
      </c>
      <c r="C129">
        <v>38</v>
      </c>
      <c r="D129" t="s">
        <v>16</v>
      </c>
      <c r="E129" t="s">
        <v>32</v>
      </c>
      <c r="F129" t="s">
        <v>22</v>
      </c>
      <c r="G129">
        <v>8</v>
      </c>
      <c r="H129">
        <v>651</v>
      </c>
      <c r="I129">
        <v>3</v>
      </c>
      <c r="J129" t="s">
        <v>30</v>
      </c>
    </row>
    <row r="130" spans="1:10" x14ac:dyDescent="0.25">
      <c r="A130">
        <v>1073</v>
      </c>
      <c r="B130" t="s">
        <v>26</v>
      </c>
      <c r="C130">
        <v>38</v>
      </c>
      <c r="D130" t="s">
        <v>11</v>
      </c>
      <c r="E130" t="s">
        <v>35</v>
      </c>
      <c r="F130" t="s">
        <v>22</v>
      </c>
      <c r="G130">
        <v>8</v>
      </c>
      <c r="H130">
        <v>1105</v>
      </c>
      <c r="I130">
        <v>1</v>
      </c>
      <c r="J130" t="s">
        <v>43</v>
      </c>
    </row>
    <row r="131" spans="1:10" x14ac:dyDescent="0.25">
      <c r="A131">
        <v>1080</v>
      </c>
      <c r="B131" t="s">
        <v>10</v>
      </c>
      <c r="C131">
        <v>31</v>
      </c>
      <c r="D131" t="s">
        <v>16</v>
      </c>
      <c r="E131" t="s">
        <v>32</v>
      </c>
      <c r="F131" t="s">
        <v>18</v>
      </c>
      <c r="G131">
        <v>15</v>
      </c>
      <c r="H131">
        <v>1501</v>
      </c>
      <c r="I131">
        <v>6</v>
      </c>
      <c r="J131" t="s">
        <v>14</v>
      </c>
    </row>
    <row r="132" spans="1:10" x14ac:dyDescent="0.25">
      <c r="A132">
        <v>1083</v>
      </c>
      <c r="B132" t="s">
        <v>15</v>
      </c>
      <c r="C132">
        <v>39</v>
      </c>
      <c r="D132" t="s">
        <v>16</v>
      </c>
      <c r="E132" t="s">
        <v>12</v>
      </c>
      <c r="F132" t="s">
        <v>13</v>
      </c>
      <c r="G132">
        <v>29</v>
      </c>
      <c r="H132">
        <v>1230</v>
      </c>
      <c r="I132">
        <v>5</v>
      </c>
      <c r="J132" t="s">
        <v>23</v>
      </c>
    </row>
    <row r="133" spans="1:10" x14ac:dyDescent="0.25">
      <c r="A133">
        <v>1085</v>
      </c>
      <c r="B133" t="s">
        <v>26</v>
      </c>
      <c r="C133">
        <v>37</v>
      </c>
      <c r="D133" t="s">
        <v>16</v>
      </c>
      <c r="E133" t="s">
        <v>17</v>
      </c>
      <c r="F133" t="s">
        <v>38</v>
      </c>
      <c r="G133">
        <v>6</v>
      </c>
      <c r="H133">
        <v>1725</v>
      </c>
      <c r="I133">
        <v>5</v>
      </c>
      <c r="J133" t="s">
        <v>19</v>
      </c>
    </row>
    <row r="134" spans="1:10" x14ac:dyDescent="0.25">
      <c r="A134">
        <v>1086</v>
      </c>
      <c r="B134" t="s">
        <v>37</v>
      </c>
      <c r="C134">
        <v>37</v>
      </c>
      <c r="D134" t="s">
        <v>11</v>
      </c>
      <c r="E134" t="s">
        <v>21</v>
      </c>
      <c r="F134" t="s">
        <v>38</v>
      </c>
      <c r="G134">
        <v>7</v>
      </c>
      <c r="H134">
        <v>860</v>
      </c>
      <c r="I134">
        <v>8</v>
      </c>
      <c r="J134" t="s">
        <v>43</v>
      </c>
    </row>
    <row r="135" spans="1:10" x14ac:dyDescent="0.25">
      <c r="A135">
        <v>1090</v>
      </c>
      <c r="B135" t="s">
        <v>52</v>
      </c>
      <c r="C135">
        <v>39</v>
      </c>
      <c r="D135" t="s">
        <v>11</v>
      </c>
      <c r="E135" t="s">
        <v>21</v>
      </c>
      <c r="F135" t="s">
        <v>33</v>
      </c>
      <c r="G135">
        <v>23</v>
      </c>
      <c r="H135">
        <v>1495</v>
      </c>
      <c r="I135">
        <v>0</v>
      </c>
      <c r="J135" t="s">
        <v>36</v>
      </c>
    </row>
    <row r="136" spans="1:10" x14ac:dyDescent="0.25">
      <c r="A136">
        <v>1093</v>
      </c>
      <c r="B136" t="s">
        <v>46</v>
      </c>
      <c r="C136">
        <v>39</v>
      </c>
      <c r="D136" t="s">
        <v>16</v>
      </c>
      <c r="E136" t="s">
        <v>27</v>
      </c>
      <c r="F136" t="s">
        <v>29</v>
      </c>
      <c r="G136">
        <v>19</v>
      </c>
      <c r="H136">
        <v>2942</v>
      </c>
      <c r="I136">
        <v>1</v>
      </c>
      <c r="J136" t="s">
        <v>19</v>
      </c>
    </row>
    <row r="137" spans="1:10" x14ac:dyDescent="0.25">
      <c r="A137">
        <v>1094</v>
      </c>
      <c r="B137" t="s">
        <v>24</v>
      </c>
      <c r="C137">
        <v>32</v>
      </c>
      <c r="D137" t="s">
        <v>11</v>
      </c>
      <c r="E137" t="s">
        <v>21</v>
      </c>
      <c r="F137" t="s">
        <v>13</v>
      </c>
      <c r="G137">
        <v>11</v>
      </c>
      <c r="H137">
        <v>1513</v>
      </c>
      <c r="I137">
        <v>2</v>
      </c>
      <c r="J137" t="s">
        <v>43</v>
      </c>
    </row>
    <row r="138" spans="1:10" x14ac:dyDescent="0.25">
      <c r="A138">
        <v>1095</v>
      </c>
      <c r="B138" t="s">
        <v>44</v>
      </c>
      <c r="C138">
        <v>39</v>
      </c>
      <c r="D138" t="s">
        <v>11</v>
      </c>
      <c r="E138" t="s">
        <v>32</v>
      </c>
      <c r="F138" t="s">
        <v>29</v>
      </c>
      <c r="G138">
        <v>17</v>
      </c>
      <c r="H138">
        <v>2902</v>
      </c>
      <c r="I138">
        <v>10</v>
      </c>
      <c r="J138" t="s">
        <v>23</v>
      </c>
    </row>
    <row r="139" spans="1:10" x14ac:dyDescent="0.25">
      <c r="A139">
        <v>1105</v>
      </c>
      <c r="B139" t="s">
        <v>47</v>
      </c>
      <c r="C139">
        <v>35</v>
      </c>
      <c r="D139" t="s">
        <v>16</v>
      </c>
      <c r="E139" t="s">
        <v>35</v>
      </c>
      <c r="F139" t="s">
        <v>13</v>
      </c>
      <c r="G139">
        <v>7</v>
      </c>
      <c r="H139">
        <v>2602</v>
      </c>
      <c r="I139">
        <v>0</v>
      </c>
      <c r="J139" t="s">
        <v>14</v>
      </c>
    </row>
    <row r="140" spans="1:10" x14ac:dyDescent="0.25">
      <c r="A140">
        <v>1109</v>
      </c>
      <c r="B140" t="s">
        <v>37</v>
      </c>
      <c r="C140">
        <v>32</v>
      </c>
      <c r="D140" t="s">
        <v>11</v>
      </c>
      <c r="E140" t="s">
        <v>49</v>
      </c>
      <c r="F140" t="s">
        <v>41</v>
      </c>
      <c r="G140">
        <v>7</v>
      </c>
      <c r="H140">
        <v>1836</v>
      </c>
      <c r="I140">
        <v>1</v>
      </c>
      <c r="J140" t="s">
        <v>14</v>
      </c>
    </row>
    <row r="141" spans="1:10" x14ac:dyDescent="0.25">
      <c r="A141">
        <v>1110</v>
      </c>
      <c r="B141" t="s">
        <v>44</v>
      </c>
      <c r="C141">
        <v>32</v>
      </c>
      <c r="D141" t="s">
        <v>11</v>
      </c>
      <c r="E141" t="s">
        <v>27</v>
      </c>
      <c r="F141" t="s">
        <v>33</v>
      </c>
      <c r="G141">
        <v>8</v>
      </c>
      <c r="H141">
        <v>1117</v>
      </c>
      <c r="I141">
        <v>2</v>
      </c>
      <c r="J141" t="s">
        <v>30</v>
      </c>
    </row>
    <row r="142" spans="1:10" x14ac:dyDescent="0.25">
      <c r="A142">
        <v>1116</v>
      </c>
      <c r="B142" t="s">
        <v>51</v>
      </c>
      <c r="C142">
        <v>38</v>
      </c>
      <c r="D142" t="s">
        <v>16</v>
      </c>
      <c r="E142" t="s">
        <v>27</v>
      </c>
      <c r="F142" t="s">
        <v>18</v>
      </c>
      <c r="G142">
        <v>28</v>
      </c>
      <c r="H142">
        <v>1191</v>
      </c>
      <c r="I142">
        <v>2</v>
      </c>
      <c r="J142" t="s">
        <v>30</v>
      </c>
    </row>
    <row r="143" spans="1:10" x14ac:dyDescent="0.25">
      <c r="A143">
        <v>1125</v>
      </c>
      <c r="B143" t="s">
        <v>24</v>
      </c>
      <c r="C143">
        <v>36</v>
      </c>
      <c r="D143" t="s">
        <v>16</v>
      </c>
      <c r="E143" t="s">
        <v>17</v>
      </c>
      <c r="F143" t="s">
        <v>38</v>
      </c>
      <c r="G143">
        <v>7</v>
      </c>
      <c r="H143">
        <v>843</v>
      </c>
      <c r="I143">
        <v>5</v>
      </c>
      <c r="J143" t="s">
        <v>43</v>
      </c>
    </row>
    <row r="144" spans="1:10" x14ac:dyDescent="0.25">
      <c r="A144">
        <v>1129</v>
      </c>
      <c r="B144" t="s">
        <v>34</v>
      </c>
      <c r="C144">
        <v>34</v>
      </c>
      <c r="D144" t="s">
        <v>16</v>
      </c>
      <c r="E144" t="s">
        <v>35</v>
      </c>
      <c r="F144" t="s">
        <v>22</v>
      </c>
      <c r="G144">
        <v>9</v>
      </c>
      <c r="H144">
        <v>1153</v>
      </c>
      <c r="I144">
        <v>1</v>
      </c>
      <c r="J144" t="s">
        <v>14</v>
      </c>
    </row>
    <row r="145" spans="1:10" x14ac:dyDescent="0.25">
      <c r="A145">
        <v>1130</v>
      </c>
      <c r="B145" t="s">
        <v>42</v>
      </c>
      <c r="C145">
        <v>37</v>
      </c>
      <c r="D145" t="s">
        <v>16</v>
      </c>
      <c r="E145" t="s">
        <v>12</v>
      </c>
      <c r="F145" t="s">
        <v>38</v>
      </c>
      <c r="G145">
        <v>25</v>
      </c>
      <c r="H145">
        <v>982</v>
      </c>
      <c r="I145">
        <v>10</v>
      </c>
      <c r="J145" t="s">
        <v>36</v>
      </c>
    </row>
    <row r="146" spans="1:10" x14ac:dyDescent="0.25">
      <c r="A146">
        <v>1134</v>
      </c>
      <c r="B146" t="s">
        <v>20</v>
      </c>
      <c r="C146">
        <v>39</v>
      </c>
      <c r="D146" t="s">
        <v>11</v>
      </c>
      <c r="E146" t="s">
        <v>27</v>
      </c>
      <c r="F146" t="s">
        <v>22</v>
      </c>
      <c r="G146">
        <v>23</v>
      </c>
      <c r="H146">
        <v>1869</v>
      </c>
      <c r="I146">
        <v>0</v>
      </c>
      <c r="J146" t="s">
        <v>43</v>
      </c>
    </row>
    <row r="147" spans="1:10" x14ac:dyDescent="0.25">
      <c r="A147">
        <v>1140</v>
      </c>
      <c r="B147" t="s">
        <v>10</v>
      </c>
      <c r="C147">
        <v>33</v>
      </c>
      <c r="D147" t="s">
        <v>11</v>
      </c>
      <c r="E147" t="s">
        <v>21</v>
      </c>
      <c r="F147" t="s">
        <v>41</v>
      </c>
      <c r="G147">
        <v>18</v>
      </c>
      <c r="H147">
        <v>854</v>
      </c>
      <c r="I147">
        <v>4</v>
      </c>
      <c r="J147" t="s">
        <v>30</v>
      </c>
    </row>
    <row r="148" spans="1:10" x14ac:dyDescent="0.25">
      <c r="A148">
        <v>1141</v>
      </c>
      <c r="B148" t="s">
        <v>42</v>
      </c>
      <c r="C148">
        <v>31</v>
      </c>
      <c r="D148" t="s">
        <v>16</v>
      </c>
      <c r="E148" t="s">
        <v>49</v>
      </c>
      <c r="F148" t="s">
        <v>41</v>
      </c>
      <c r="G148">
        <v>5</v>
      </c>
      <c r="H148">
        <v>1914</v>
      </c>
      <c r="I148">
        <v>5</v>
      </c>
      <c r="J148" t="s">
        <v>36</v>
      </c>
    </row>
    <row r="149" spans="1:10" x14ac:dyDescent="0.25">
      <c r="A149">
        <v>1145</v>
      </c>
      <c r="B149" t="s">
        <v>47</v>
      </c>
      <c r="C149">
        <v>32</v>
      </c>
      <c r="D149" t="s">
        <v>16</v>
      </c>
      <c r="E149" t="s">
        <v>21</v>
      </c>
      <c r="F149" t="s">
        <v>22</v>
      </c>
      <c r="G149">
        <v>29</v>
      </c>
      <c r="H149">
        <v>2657</v>
      </c>
      <c r="I149">
        <v>3</v>
      </c>
      <c r="J149" t="s">
        <v>30</v>
      </c>
    </row>
    <row r="150" spans="1:10" x14ac:dyDescent="0.25">
      <c r="A150">
        <v>1146</v>
      </c>
      <c r="B150" t="s">
        <v>40</v>
      </c>
      <c r="C150">
        <v>35</v>
      </c>
      <c r="D150" t="s">
        <v>11</v>
      </c>
      <c r="E150" t="s">
        <v>32</v>
      </c>
      <c r="F150" t="s">
        <v>18</v>
      </c>
      <c r="G150">
        <v>9</v>
      </c>
      <c r="H150">
        <v>1557</v>
      </c>
      <c r="I150">
        <v>10</v>
      </c>
      <c r="J150" t="s">
        <v>43</v>
      </c>
    </row>
    <row r="151" spans="1:10" x14ac:dyDescent="0.25">
      <c r="A151">
        <v>1150</v>
      </c>
      <c r="B151" t="s">
        <v>42</v>
      </c>
      <c r="C151">
        <v>35</v>
      </c>
      <c r="D151" t="s">
        <v>16</v>
      </c>
      <c r="E151" t="s">
        <v>49</v>
      </c>
      <c r="F151" t="s">
        <v>38</v>
      </c>
      <c r="G151">
        <v>14</v>
      </c>
      <c r="H151">
        <v>1760</v>
      </c>
      <c r="I151">
        <v>2</v>
      </c>
      <c r="J151" t="s">
        <v>30</v>
      </c>
    </row>
    <row r="152" spans="1:10" x14ac:dyDescent="0.25">
      <c r="A152">
        <v>1156</v>
      </c>
      <c r="B152" t="s">
        <v>26</v>
      </c>
      <c r="C152">
        <v>36</v>
      </c>
      <c r="D152" t="s">
        <v>11</v>
      </c>
      <c r="E152" t="s">
        <v>17</v>
      </c>
      <c r="F152" t="s">
        <v>13</v>
      </c>
      <c r="G152">
        <v>26</v>
      </c>
      <c r="H152">
        <v>1627</v>
      </c>
      <c r="I152">
        <v>3</v>
      </c>
      <c r="J152" t="s">
        <v>14</v>
      </c>
    </row>
    <row r="153" spans="1:10" x14ac:dyDescent="0.25">
      <c r="A153">
        <v>1157</v>
      </c>
      <c r="B153" t="s">
        <v>24</v>
      </c>
      <c r="C153">
        <v>32</v>
      </c>
      <c r="D153" t="s">
        <v>11</v>
      </c>
      <c r="E153" t="s">
        <v>49</v>
      </c>
      <c r="F153" t="s">
        <v>22</v>
      </c>
      <c r="G153">
        <v>30</v>
      </c>
      <c r="H153">
        <v>1196</v>
      </c>
      <c r="I153">
        <v>0</v>
      </c>
      <c r="J153" t="s">
        <v>19</v>
      </c>
    </row>
    <row r="154" spans="1:10" x14ac:dyDescent="0.25">
      <c r="A154">
        <v>1161</v>
      </c>
      <c r="B154" t="s">
        <v>45</v>
      </c>
      <c r="C154">
        <v>36</v>
      </c>
      <c r="D154" t="s">
        <v>16</v>
      </c>
      <c r="E154" t="s">
        <v>25</v>
      </c>
      <c r="F154" t="s">
        <v>13</v>
      </c>
      <c r="G154">
        <v>11</v>
      </c>
      <c r="H154">
        <v>1148</v>
      </c>
      <c r="I154">
        <v>1</v>
      </c>
      <c r="J154" t="s">
        <v>14</v>
      </c>
    </row>
    <row r="155" spans="1:10" x14ac:dyDescent="0.25">
      <c r="A155">
        <v>1163</v>
      </c>
      <c r="B155" t="s">
        <v>10</v>
      </c>
      <c r="C155">
        <v>35</v>
      </c>
      <c r="D155" t="s">
        <v>16</v>
      </c>
      <c r="E155" t="s">
        <v>35</v>
      </c>
      <c r="F155" t="s">
        <v>29</v>
      </c>
      <c r="G155">
        <v>5</v>
      </c>
      <c r="H155">
        <v>853</v>
      </c>
      <c r="I155">
        <v>1</v>
      </c>
      <c r="J155" t="s">
        <v>14</v>
      </c>
    </row>
    <row r="156" spans="1:10" x14ac:dyDescent="0.25">
      <c r="A156">
        <v>1165</v>
      </c>
      <c r="B156" t="s">
        <v>46</v>
      </c>
      <c r="C156">
        <v>34</v>
      </c>
      <c r="D156" t="s">
        <v>16</v>
      </c>
      <c r="E156" t="s">
        <v>21</v>
      </c>
      <c r="F156" t="s">
        <v>22</v>
      </c>
      <c r="G156">
        <v>11</v>
      </c>
      <c r="H156">
        <v>2223</v>
      </c>
      <c r="I156">
        <v>5</v>
      </c>
      <c r="J156" t="s">
        <v>19</v>
      </c>
    </row>
    <row r="157" spans="1:10" x14ac:dyDescent="0.25">
      <c r="A157">
        <v>1175</v>
      </c>
      <c r="B157" t="s">
        <v>10</v>
      </c>
      <c r="C157">
        <v>32</v>
      </c>
      <c r="D157" t="s">
        <v>11</v>
      </c>
      <c r="E157" t="s">
        <v>25</v>
      </c>
      <c r="F157" t="s">
        <v>33</v>
      </c>
      <c r="G157">
        <v>7</v>
      </c>
      <c r="H157">
        <v>1031</v>
      </c>
      <c r="I157">
        <v>4</v>
      </c>
      <c r="J157" t="s">
        <v>14</v>
      </c>
    </row>
    <row r="158" spans="1:10" x14ac:dyDescent="0.25">
      <c r="A158">
        <v>1177</v>
      </c>
      <c r="B158" t="s">
        <v>28</v>
      </c>
      <c r="C158">
        <v>33</v>
      </c>
      <c r="D158" t="s">
        <v>16</v>
      </c>
      <c r="E158" t="s">
        <v>12</v>
      </c>
      <c r="F158" t="s">
        <v>29</v>
      </c>
      <c r="G158">
        <v>9</v>
      </c>
      <c r="H158">
        <v>1114</v>
      </c>
      <c r="I158">
        <v>3</v>
      </c>
      <c r="J158" t="s">
        <v>23</v>
      </c>
    </row>
    <row r="159" spans="1:10" x14ac:dyDescent="0.25">
      <c r="A159">
        <v>1179</v>
      </c>
      <c r="B159" t="s">
        <v>15</v>
      </c>
      <c r="C159">
        <v>34</v>
      </c>
      <c r="D159" t="s">
        <v>11</v>
      </c>
      <c r="E159" t="s">
        <v>17</v>
      </c>
      <c r="F159" t="s">
        <v>41</v>
      </c>
      <c r="G159">
        <v>12</v>
      </c>
      <c r="H159">
        <v>2450</v>
      </c>
      <c r="I159">
        <v>9</v>
      </c>
      <c r="J159" t="s">
        <v>36</v>
      </c>
    </row>
    <row r="160" spans="1:10" x14ac:dyDescent="0.25">
      <c r="A160">
        <v>1181</v>
      </c>
      <c r="B160" t="s">
        <v>42</v>
      </c>
      <c r="C160">
        <v>36</v>
      </c>
      <c r="D160" t="s">
        <v>11</v>
      </c>
      <c r="E160" t="s">
        <v>17</v>
      </c>
      <c r="F160" t="s">
        <v>18</v>
      </c>
      <c r="G160">
        <v>12</v>
      </c>
      <c r="H160">
        <v>576</v>
      </c>
      <c r="I160">
        <v>0</v>
      </c>
      <c r="J160" t="s">
        <v>19</v>
      </c>
    </row>
    <row r="161" spans="1:10" x14ac:dyDescent="0.25">
      <c r="A161">
        <v>1197</v>
      </c>
      <c r="B161" t="s">
        <v>40</v>
      </c>
      <c r="C161">
        <v>33</v>
      </c>
      <c r="D161" t="s">
        <v>11</v>
      </c>
      <c r="E161" t="s">
        <v>32</v>
      </c>
      <c r="F161" t="s">
        <v>38</v>
      </c>
      <c r="G161">
        <v>17</v>
      </c>
      <c r="H161">
        <v>915</v>
      </c>
      <c r="I161">
        <v>1</v>
      </c>
      <c r="J161" t="s">
        <v>36</v>
      </c>
    </row>
    <row r="162" spans="1:10" x14ac:dyDescent="0.25">
      <c r="A162">
        <v>1202</v>
      </c>
      <c r="B162" t="s">
        <v>50</v>
      </c>
      <c r="C162">
        <v>40</v>
      </c>
      <c r="D162" t="s">
        <v>16</v>
      </c>
      <c r="E162" t="s">
        <v>32</v>
      </c>
      <c r="F162" t="s">
        <v>33</v>
      </c>
      <c r="G162">
        <v>30</v>
      </c>
      <c r="H162">
        <v>882</v>
      </c>
      <c r="I162">
        <v>9</v>
      </c>
      <c r="J162" t="s">
        <v>30</v>
      </c>
    </row>
    <row r="163" spans="1:10" x14ac:dyDescent="0.25">
      <c r="A163">
        <v>1203</v>
      </c>
      <c r="B163" t="s">
        <v>46</v>
      </c>
      <c r="C163">
        <v>37</v>
      </c>
      <c r="D163" t="s">
        <v>16</v>
      </c>
      <c r="E163" t="s">
        <v>49</v>
      </c>
      <c r="F163" t="s">
        <v>38</v>
      </c>
      <c r="G163">
        <v>17</v>
      </c>
      <c r="H163">
        <v>2193</v>
      </c>
      <c r="I163">
        <v>3</v>
      </c>
      <c r="J163" t="s">
        <v>43</v>
      </c>
    </row>
    <row r="164" spans="1:10" x14ac:dyDescent="0.25">
      <c r="A164">
        <v>1211</v>
      </c>
      <c r="B164" t="s">
        <v>51</v>
      </c>
      <c r="C164">
        <v>32</v>
      </c>
      <c r="D164" t="s">
        <v>16</v>
      </c>
      <c r="E164" t="s">
        <v>32</v>
      </c>
      <c r="F164" t="s">
        <v>22</v>
      </c>
      <c r="G164">
        <v>8</v>
      </c>
      <c r="H164">
        <v>2314</v>
      </c>
      <c r="I164">
        <v>4</v>
      </c>
      <c r="J164" t="s">
        <v>14</v>
      </c>
    </row>
    <row r="165" spans="1:10" x14ac:dyDescent="0.25">
      <c r="A165">
        <v>1214</v>
      </c>
      <c r="B165" t="s">
        <v>24</v>
      </c>
      <c r="C165">
        <v>32</v>
      </c>
      <c r="D165" t="s">
        <v>11</v>
      </c>
      <c r="E165" t="s">
        <v>25</v>
      </c>
      <c r="F165" t="s">
        <v>13</v>
      </c>
      <c r="G165">
        <v>10</v>
      </c>
      <c r="H165">
        <v>2383</v>
      </c>
      <c r="I165">
        <v>0</v>
      </c>
      <c r="J165" t="s">
        <v>43</v>
      </c>
    </row>
    <row r="166" spans="1:10" x14ac:dyDescent="0.25">
      <c r="A166">
        <v>1220</v>
      </c>
      <c r="B166" t="s">
        <v>31</v>
      </c>
      <c r="C166">
        <v>35</v>
      </c>
      <c r="D166" t="s">
        <v>11</v>
      </c>
      <c r="E166" t="s">
        <v>25</v>
      </c>
      <c r="F166" t="s">
        <v>33</v>
      </c>
      <c r="G166">
        <v>6</v>
      </c>
      <c r="H166">
        <v>2610</v>
      </c>
      <c r="I166">
        <v>10</v>
      </c>
      <c r="J166" t="s">
        <v>19</v>
      </c>
    </row>
    <row r="167" spans="1:10" x14ac:dyDescent="0.25">
      <c r="A167">
        <v>1225</v>
      </c>
      <c r="B167" t="s">
        <v>47</v>
      </c>
      <c r="C167">
        <v>40</v>
      </c>
      <c r="D167" t="s">
        <v>11</v>
      </c>
      <c r="E167" t="s">
        <v>32</v>
      </c>
      <c r="F167" t="s">
        <v>33</v>
      </c>
      <c r="G167">
        <v>26</v>
      </c>
      <c r="H167">
        <v>1306</v>
      </c>
      <c r="I167">
        <v>10</v>
      </c>
      <c r="J167" t="s">
        <v>19</v>
      </c>
    </row>
    <row r="168" spans="1:10" x14ac:dyDescent="0.25">
      <c r="A168">
        <v>1228</v>
      </c>
      <c r="B168" t="s">
        <v>44</v>
      </c>
      <c r="C168">
        <v>39</v>
      </c>
      <c r="D168" t="s">
        <v>16</v>
      </c>
      <c r="E168" t="s">
        <v>17</v>
      </c>
      <c r="F168" t="s">
        <v>33</v>
      </c>
      <c r="G168">
        <v>19</v>
      </c>
      <c r="H168">
        <v>1638</v>
      </c>
      <c r="I168">
        <v>2</v>
      </c>
      <c r="J168" t="s">
        <v>43</v>
      </c>
    </row>
    <row r="169" spans="1:10" x14ac:dyDescent="0.25">
      <c r="A169">
        <v>1230</v>
      </c>
      <c r="B169" t="s">
        <v>15</v>
      </c>
      <c r="C169">
        <v>36</v>
      </c>
      <c r="D169" t="s">
        <v>16</v>
      </c>
      <c r="E169" t="s">
        <v>49</v>
      </c>
      <c r="F169" t="s">
        <v>29</v>
      </c>
      <c r="G169">
        <v>19</v>
      </c>
      <c r="H169">
        <v>2763</v>
      </c>
      <c r="I169">
        <v>0</v>
      </c>
      <c r="J169" t="s">
        <v>23</v>
      </c>
    </row>
    <row r="170" spans="1:10" x14ac:dyDescent="0.25">
      <c r="A170">
        <v>1235</v>
      </c>
      <c r="B170" t="s">
        <v>42</v>
      </c>
      <c r="C170">
        <v>31</v>
      </c>
      <c r="D170" t="s">
        <v>11</v>
      </c>
      <c r="E170" t="s">
        <v>35</v>
      </c>
      <c r="F170" t="s">
        <v>22</v>
      </c>
      <c r="G170">
        <v>30</v>
      </c>
      <c r="H170">
        <v>1000</v>
      </c>
      <c r="I170">
        <v>1</v>
      </c>
      <c r="J170" t="s">
        <v>23</v>
      </c>
    </row>
    <row r="171" spans="1:10" x14ac:dyDescent="0.25">
      <c r="A171">
        <v>1239</v>
      </c>
      <c r="B171" t="s">
        <v>15</v>
      </c>
      <c r="C171">
        <v>38</v>
      </c>
      <c r="D171" t="s">
        <v>11</v>
      </c>
      <c r="E171" t="s">
        <v>12</v>
      </c>
      <c r="F171" t="s">
        <v>38</v>
      </c>
      <c r="G171">
        <v>21</v>
      </c>
      <c r="H171">
        <v>1624</v>
      </c>
      <c r="I171">
        <v>9</v>
      </c>
      <c r="J171" t="s">
        <v>36</v>
      </c>
    </row>
    <row r="172" spans="1:10" x14ac:dyDescent="0.25">
      <c r="A172">
        <v>1241</v>
      </c>
      <c r="B172" t="s">
        <v>37</v>
      </c>
      <c r="C172">
        <v>35</v>
      </c>
      <c r="D172" t="s">
        <v>16</v>
      </c>
      <c r="E172" t="s">
        <v>17</v>
      </c>
      <c r="F172" t="s">
        <v>22</v>
      </c>
      <c r="G172">
        <v>7</v>
      </c>
      <c r="H172">
        <v>2040</v>
      </c>
      <c r="I172">
        <v>0</v>
      </c>
      <c r="J172" t="s">
        <v>36</v>
      </c>
    </row>
    <row r="173" spans="1:10" x14ac:dyDescent="0.25">
      <c r="A173">
        <v>1242</v>
      </c>
      <c r="B173" t="s">
        <v>48</v>
      </c>
      <c r="C173">
        <v>31</v>
      </c>
      <c r="D173" t="s">
        <v>16</v>
      </c>
      <c r="E173" t="s">
        <v>35</v>
      </c>
      <c r="F173" t="s">
        <v>33</v>
      </c>
      <c r="G173">
        <v>18</v>
      </c>
      <c r="H173">
        <v>2417</v>
      </c>
      <c r="I173">
        <v>5</v>
      </c>
      <c r="J173" t="s">
        <v>19</v>
      </c>
    </row>
    <row r="174" spans="1:10" x14ac:dyDescent="0.25">
      <c r="A174">
        <v>1243</v>
      </c>
      <c r="B174" t="s">
        <v>47</v>
      </c>
      <c r="C174">
        <v>33</v>
      </c>
      <c r="D174" t="s">
        <v>11</v>
      </c>
      <c r="E174" t="s">
        <v>25</v>
      </c>
      <c r="F174" t="s">
        <v>22</v>
      </c>
      <c r="G174">
        <v>16</v>
      </c>
      <c r="H174">
        <v>2485</v>
      </c>
      <c r="I174">
        <v>9</v>
      </c>
      <c r="J174" t="s">
        <v>19</v>
      </c>
    </row>
    <row r="175" spans="1:10" x14ac:dyDescent="0.25">
      <c r="A175">
        <v>1249</v>
      </c>
      <c r="B175" t="s">
        <v>15</v>
      </c>
      <c r="C175">
        <v>34</v>
      </c>
      <c r="D175" t="s">
        <v>16</v>
      </c>
      <c r="E175" t="s">
        <v>17</v>
      </c>
      <c r="F175" t="s">
        <v>29</v>
      </c>
      <c r="G175">
        <v>29</v>
      </c>
      <c r="H175">
        <v>2186</v>
      </c>
      <c r="I175">
        <v>3</v>
      </c>
      <c r="J175" t="s">
        <v>19</v>
      </c>
    </row>
    <row r="176" spans="1:10" x14ac:dyDescent="0.25">
      <c r="A176">
        <v>1002</v>
      </c>
      <c r="B176" t="s">
        <v>15</v>
      </c>
      <c r="C176">
        <v>47</v>
      </c>
      <c r="D176" t="s">
        <v>16</v>
      </c>
      <c r="E176" t="s">
        <v>17</v>
      </c>
      <c r="F176" t="s">
        <v>18</v>
      </c>
      <c r="G176">
        <v>16</v>
      </c>
      <c r="H176">
        <v>2738</v>
      </c>
      <c r="I176">
        <v>6</v>
      </c>
      <c r="J176" t="s">
        <v>19</v>
      </c>
    </row>
    <row r="177" spans="1:10" x14ac:dyDescent="0.25">
      <c r="A177">
        <v>1003</v>
      </c>
      <c r="B177" t="s">
        <v>20</v>
      </c>
      <c r="C177">
        <v>42</v>
      </c>
      <c r="D177" t="s">
        <v>11</v>
      </c>
      <c r="E177" t="s">
        <v>21</v>
      </c>
      <c r="F177" t="s">
        <v>22</v>
      </c>
      <c r="G177">
        <v>27</v>
      </c>
      <c r="H177">
        <v>2865</v>
      </c>
      <c r="I177">
        <v>5</v>
      </c>
      <c r="J177" t="s">
        <v>23</v>
      </c>
    </row>
    <row r="178" spans="1:10" x14ac:dyDescent="0.25">
      <c r="A178">
        <v>1008</v>
      </c>
      <c r="B178" t="s">
        <v>34</v>
      </c>
      <c r="C178">
        <v>45</v>
      </c>
      <c r="D178" t="s">
        <v>11</v>
      </c>
      <c r="E178" t="s">
        <v>35</v>
      </c>
      <c r="F178" t="s">
        <v>18</v>
      </c>
      <c r="G178">
        <v>11</v>
      </c>
      <c r="H178">
        <v>509</v>
      </c>
      <c r="I178">
        <v>5</v>
      </c>
      <c r="J178" t="s">
        <v>36</v>
      </c>
    </row>
    <row r="179" spans="1:10" x14ac:dyDescent="0.25">
      <c r="A179">
        <v>1013</v>
      </c>
      <c r="B179" t="s">
        <v>20</v>
      </c>
      <c r="C179">
        <v>47</v>
      </c>
      <c r="D179" t="s">
        <v>16</v>
      </c>
      <c r="E179" t="s">
        <v>17</v>
      </c>
      <c r="F179" t="s">
        <v>13</v>
      </c>
      <c r="G179">
        <v>9</v>
      </c>
      <c r="H179">
        <v>1339</v>
      </c>
      <c r="I179">
        <v>5</v>
      </c>
      <c r="J179" t="s">
        <v>43</v>
      </c>
    </row>
    <row r="180" spans="1:10" x14ac:dyDescent="0.25">
      <c r="A180">
        <v>1017</v>
      </c>
      <c r="B180" t="s">
        <v>37</v>
      </c>
      <c r="C180">
        <v>45</v>
      </c>
      <c r="D180" t="s">
        <v>16</v>
      </c>
      <c r="E180" t="s">
        <v>27</v>
      </c>
      <c r="F180" t="s">
        <v>13</v>
      </c>
      <c r="G180">
        <v>17</v>
      </c>
      <c r="H180">
        <v>2216</v>
      </c>
      <c r="I180">
        <v>1</v>
      </c>
      <c r="J180" t="s">
        <v>43</v>
      </c>
    </row>
    <row r="181" spans="1:10" x14ac:dyDescent="0.25">
      <c r="A181">
        <v>1019</v>
      </c>
      <c r="B181" t="s">
        <v>34</v>
      </c>
      <c r="C181">
        <v>49</v>
      </c>
      <c r="D181" t="s">
        <v>16</v>
      </c>
      <c r="E181" t="s">
        <v>25</v>
      </c>
      <c r="F181" t="s">
        <v>33</v>
      </c>
      <c r="G181">
        <v>9</v>
      </c>
      <c r="H181">
        <v>1715</v>
      </c>
      <c r="I181">
        <v>9</v>
      </c>
      <c r="J181" t="s">
        <v>23</v>
      </c>
    </row>
    <row r="182" spans="1:10" x14ac:dyDescent="0.25">
      <c r="A182">
        <v>1027</v>
      </c>
      <c r="B182" t="s">
        <v>46</v>
      </c>
      <c r="C182">
        <v>49</v>
      </c>
      <c r="D182" t="s">
        <v>11</v>
      </c>
      <c r="E182" t="s">
        <v>49</v>
      </c>
      <c r="F182" t="s">
        <v>18</v>
      </c>
      <c r="G182">
        <v>18</v>
      </c>
      <c r="H182">
        <v>2578</v>
      </c>
      <c r="I182">
        <v>3</v>
      </c>
      <c r="J182" t="s">
        <v>30</v>
      </c>
    </row>
    <row r="183" spans="1:10" x14ac:dyDescent="0.25">
      <c r="A183">
        <v>1028</v>
      </c>
      <c r="B183" t="s">
        <v>31</v>
      </c>
      <c r="C183">
        <v>49</v>
      </c>
      <c r="D183" t="s">
        <v>16</v>
      </c>
      <c r="E183" t="s">
        <v>49</v>
      </c>
      <c r="F183" t="s">
        <v>29</v>
      </c>
      <c r="G183">
        <v>18</v>
      </c>
      <c r="H183">
        <v>1651</v>
      </c>
      <c r="I183">
        <v>0</v>
      </c>
      <c r="J183" t="s">
        <v>14</v>
      </c>
    </row>
    <row r="184" spans="1:10" x14ac:dyDescent="0.25">
      <c r="A184">
        <v>1031</v>
      </c>
      <c r="B184" t="s">
        <v>20</v>
      </c>
      <c r="C184">
        <v>48</v>
      </c>
      <c r="D184" t="s">
        <v>16</v>
      </c>
      <c r="E184" t="s">
        <v>49</v>
      </c>
      <c r="F184" t="s">
        <v>13</v>
      </c>
      <c r="G184">
        <v>28</v>
      </c>
      <c r="H184">
        <v>1749</v>
      </c>
      <c r="I184">
        <v>5</v>
      </c>
      <c r="J184" t="s">
        <v>30</v>
      </c>
    </row>
    <row r="185" spans="1:10" x14ac:dyDescent="0.25">
      <c r="A185">
        <v>1033</v>
      </c>
      <c r="B185" t="s">
        <v>39</v>
      </c>
      <c r="C185">
        <v>49</v>
      </c>
      <c r="D185" t="s">
        <v>11</v>
      </c>
      <c r="E185" t="s">
        <v>27</v>
      </c>
      <c r="F185" t="s">
        <v>33</v>
      </c>
      <c r="G185">
        <v>28</v>
      </c>
      <c r="H185">
        <v>2602</v>
      </c>
      <c r="I185">
        <v>2</v>
      </c>
      <c r="J185" t="s">
        <v>43</v>
      </c>
    </row>
    <row r="186" spans="1:10" x14ac:dyDescent="0.25">
      <c r="A186">
        <v>1036</v>
      </c>
      <c r="B186" t="s">
        <v>31</v>
      </c>
      <c r="C186">
        <v>42</v>
      </c>
      <c r="D186" t="s">
        <v>16</v>
      </c>
      <c r="E186" t="s">
        <v>49</v>
      </c>
      <c r="F186" t="s">
        <v>13</v>
      </c>
      <c r="G186">
        <v>27</v>
      </c>
      <c r="H186">
        <v>1455</v>
      </c>
      <c r="I186">
        <v>10</v>
      </c>
      <c r="J186" t="s">
        <v>23</v>
      </c>
    </row>
    <row r="187" spans="1:10" x14ac:dyDescent="0.25">
      <c r="A187">
        <v>1041</v>
      </c>
      <c r="B187" t="s">
        <v>39</v>
      </c>
      <c r="C187">
        <v>41</v>
      </c>
      <c r="D187" t="s">
        <v>16</v>
      </c>
      <c r="E187" t="s">
        <v>32</v>
      </c>
      <c r="F187" t="s">
        <v>33</v>
      </c>
      <c r="G187">
        <v>6</v>
      </c>
      <c r="H187">
        <v>720</v>
      </c>
      <c r="I187">
        <v>4</v>
      </c>
      <c r="J187" t="s">
        <v>19</v>
      </c>
    </row>
    <row r="188" spans="1:10" x14ac:dyDescent="0.25">
      <c r="A188">
        <v>1042</v>
      </c>
      <c r="B188" t="s">
        <v>26</v>
      </c>
      <c r="C188">
        <v>46</v>
      </c>
      <c r="D188" t="s">
        <v>16</v>
      </c>
      <c r="E188" t="s">
        <v>17</v>
      </c>
      <c r="F188" t="s">
        <v>38</v>
      </c>
      <c r="G188">
        <v>16</v>
      </c>
      <c r="H188">
        <v>2224</v>
      </c>
      <c r="I188">
        <v>5</v>
      </c>
      <c r="J188" t="s">
        <v>30</v>
      </c>
    </row>
    <row r="189" spans="1:10" x14ac:dyDescent="0.25">
      <c r="A189">
        <v>1045</v>
      </c>
      <c r="B189" t="s">
        <v>39</v>
      </c>
      <c r="C189">
        <v>43</v>
      </c>
      <c r="D189" t="s">
        <v>11</v>
      </c>
      <c r="E189" t="s">
        <v>21</v>
      </c>
      <c r="F189" t="s">
        <v>33</v>
      </c>
      <c r="G189">
        <v>22</v>
      </c>
      <c r="H189">
        <v>2779</v>
      </c>
      <c r="I189">
        <v>0</v>
      </c>
      <c r="J189" t="s">
        <v>36</v>
      </c>
    </row>
    <row r="190" spans="1:10" x14ac:dyDescent="0.25">
      <c r="A190">
        <v>1056</v>
      </c>
      <c r="B190" t="s">
        <v>34</v>
      </c>
      <c r="C190">
        <v>50</v>
      </c>
      <c r="D190" t="s">
        <v>11</v>
      </c>
      <c r="E190" t="s">
        <v>25</v>
      </c>
      <c r="F190" t="s">
        <v>41</v>
      </c>
      <c r="G190">
        <v>12</v>
      </c>
      <c r="H190">
        <v>504</v>
      </c>
      <c r="I190">
        <v>4</v>
      </c>
      <c r="J190" t="s">
        <v>30</v>
      </c>
    </row>
    <row r="191" spans="1:10" x14ac:dyDescent="0.25">
      <c r="A191">
        <v>1059</v>
      </c>
      <c r="B191" t="s">
        <v>48</v>
      </c>
      <c r="C191">
        <v>42</v>
      </c>
      <c r="D191" t="s">
        <v>16</v>
      </c>
      <c r="E191" t="s">
        <v>25</v>
      </c>
      <c r="F191" t="s">
        <v>38</v>
      </c>
      <c r="G191">
        <v>19</v>
      </c>
      <c r="H191">
        <v>1937</v>
      </c>
      <c r="I191">
        <v>6</v>
      </c>
      <c r="J191" t="s">
        <v>30</v>
      </c>
    </row>
    <row r="192" spans="1:10" x14ac:dyDescent="0.25">
      <c r="A192">
        <v>1060</v>
      </c>
      <c r="B192" t="s">
        <v>45</v>
      </c>
      <c r="C192">
        <v>48</v>
      </c>
      <c r="D192" t="s">
        <v>11</v>
      </c>
      <c r="E192" t="s">
        <v>25</v>
      </c>
      <c r="F192" t="s">
        <v>33</v>
      </c>
      <c r="G192">
        <v>27</v>
      </c>
      <c r="H192">
        <v>1695</v>
      </c>
      <c r="I192">
        <v>9</v>
      </c>
      <c r="J192" t="s">
        <v>43</v>
      </c>
    </row>
    <row r="193" spans="1:10" x14ac:dyDescent="0.25">
      <c r="A193">
        <v>1061</v>
      </c>
      <c r="B193" t="s">
        <v>39</v>
      </c>
      <c r="C193">
        <v>44</v>
      </c>
      <c r="D193" t="s">
        <v>11</v>
      </c>
      <c r="E193" t="s">
        <v>32</v>
      </c>
      <c r="F193" t="s">
        <v>29</v>
      </c>
      <c r="G193">
        <v>29</v>
      </c>
      <c r="H193">
        <v>2493</v>
      </c>
      <c r="I193">
        <v>1</v>
      </c>
      <c r="J193" t="s">
        <v>30</v>
      </c>
    </row>
    <row r="194" spans="1:10" x14ac:dyDescent="0.25">
      <c r="A194">
        <v>1062</v>
      </c>
      <c r="B194" t="s">
        <v>37</v>
      </c>
      <c r="C194">
        <v>50</v>
      </c>
      <c r="D194" t="s">
        <v>16</v>
      </c>
      <c r="E194" t="s">
        <v>17</v>
      </c>
      <c r="F194" t="s">
        <v>38</v>
      </c>
      <c r="G194">
        <v>23</v>
      </c>
      <c r="H194">
        <v>1168</v>
      </c>
      <c r="I194">
        <v>0</v>
      </c>
      <c r="J194" t="s">
        <v>36</v>
      </c>
    </row>
    <row r="195" spans="1:10" x14ac:dyDescent="0.25">
      <c r="A195">
        <v>1064</v>
      </c>
      <c r="B195" t="s">
        <v>45</v>
      </c>
      <c r="C195">
        <v>46</v>
      </c>
      <c r="D195" t="s">
        <v>16</v>
      </c>
      <c r="E195" t="s">
        <v>25</v>
      </c>
      <c r="F195" t="s">
        <v>33</v>
      </c>
      <c r="G195">
        <v>6</v>
      </c>
      <c r="H195">
        <v>901</v>
      </c>
      <c r="I195">
        <v>6</v>
      </c>
      <c r="J195" t="s">
        <v>43</v>
      </c>
    </row>
    <row r="196" spans="1:10" x14ac:dyDescent="0.25">
      <c r="A196">
        <v>1069</v>
      </c>
      <c r="B196" t="s">
        <v>34</v>
      </c>
      <c r="C196">
        <v>42</v>
      </c>
      <c r="D196" t="s">
        <v>11</v>
      </c>
      <c r="E196" t="s">
        <v>32</v>
      </c>
      <c r="F196" t="s">
        <v>29</v>
      </c>
      <c r="G196">
        <v>10</v>
      </c>
      <c r="H196">
        <v>2335</v>
      </c>
      <c r="I196">
        <v>6</v>
      </c>
      <c r="J196" t="s">
        <v>19</v>
      </c>
    </row>
    <row r="197" spans="1:10" x14ac:dyDescent="0.25">
      <c r="A197">
        <v>1071</v>
      </c>
      <c r="B197" t="s">
        <v>45</v>
      </c>
      <c r="C197">
        <v>41</v>
      </c>
      <c r="D197" t="s">
        <v>16</v>
      </c>
      <c r="E197" t="s">
        <v>32</v>
      </c>
      <c r="F197" t="s">
        <v>22</v>
      </c>
      <c r="G197">
        <v>12</v>
      </c>
      <c r="H197">
        <v>2209</v>
      </c>
      <c r="I197">
        <v>10</v>
      </c>
      <c r="J197" t="s">
        <v>30</v>
      </c>
    </row>
    <row r="198" spans="1:10" x14ac:dyDescent="0.25">
      <c r="A198">
        <v>1074</v>
      </c>
      <c r="B198" t="s">
        <v>45</v>
      </c>
      <c r="C198">
        <v>44</v>
      </c>
      <c r="D198" t="s">
        <v>11</v>
      </c>
      <c r="E198" t="s">
        <v>49</v>
      </c>
      <c r="F198" t="s">
        <v>33</v>
      </c>
      <c r="G198">
        <v>30</v>
      </c>
      <c r="H198">
        <v>925</v>
      </c>
      <c r="I198">
        <v>10</v>
      </c>
      <c r="J198" t="s">
        <v>14</v>
      </c>
    </row>
    <row r="199" spans="1:10" x14ac:dyDescent="0.25">
      <c r="A199">
        <v>1076</v>
      </c>
      <c r="B199" t="s">
        <v>20</v>
      </c>
      <c r="C199">
        <v>50</v>
      </c>
      <c r="D199" t="s">
        <v>16</v>
      </c>
      <c r="E199" t="s">
        <v>21</v>
      </c>
      <c r="F199" t="s">
        <v>33</v>
      </c>
      <c r="G199">
        <v>12</v>
      </c>
      <c r="H199">
        <v>1247</v>
      </c>
      <c r="I199">
        <v>5</v>
      </c>
      <c r="J199" t="s">
        <v>43</v>
      </c>
    </row>
    <row r="200" spans="1:10" x14ac:dyDescent="0.25">
      <c r="A200">
        <v>1081</v>
      </c>
      <c r="B200" t="s">
        <v>44</v>
      </c>
      <c r="C200">
        <v>45</v>
      </c>
      <c r="D200" t="s">
        <v>16</v>
      </c>
      <c r="E200" t="s">
        <v>49</v>
      </c>
      <c r="F200" t="s">
        <v>33</v>
      </c>
      <c r="G200">
        <v>26</v>
      </c>
      <c r="H200">
        <v>1653</v>
      </c>
      <c r="I200">
        <v>4</v>
      </c>
      <c r="J200" t="s">
        <v>19</v>
      </c>
    </row>
    <row r="201" spans="1:10" x14ac:dyDescent="0.25">
      <c r="A201">
        <v>1082</v>
      </c>
      <c r="B201" t="s">
        <v>24</v>
      </c>
      <c r="C201">
        <v>42</v>
      </c>
      <c r="D201" t="s">
        <v>11</v>
      </c>
      <c r="E201" t="s">
        <v>32</v>
      </c>
      <c r="F201" t="s">
        <v>41</v>
      </c>
      <c r="G201">
        <v>16</v>
      </c>
      <c r="H201">
        <v>1202</v>
      </c>
      <c r="I201">
        <v>10</v>
      </c>
      <c r="J201" t="s">
        <v>14</v>
      </c>
    </row>
    <row r="202" spans="1:10" x14ac:dyDescent="0.25">
      <c r="A202">
        <v>1084</v>
      </c>
      <c r="B202" t="s">
        <v>10</v>
      </c>
      <c r="C202">
        <v>49</v>
      </c>
      <c r="D202" t="s">
        <v>16</v>
      </c>
      <c r="E202" t="s">
        <v>35</v>
      </c>
      <c r="F202" t="s">
        <v>33</v>
      </c>
      <c r="G202">
        <v>13</v>
      </c>
      <c r="H202">
        <v>1019</v>
      </c>
      <c r="I202">
        <v>1</v>
      </c>
      <c r="J202" t="s">
        <v>43</v>
      </c>
    </row>
    <row r="203" spans="1:10" x14ac:dyDescent="0.25">
      <c r="A203">
        <v>1088</v>
      </c>
      <c r="B203" t="s">
        <v>34</v>
      </c>
      <c r="C203">
        <v>48</v>
      </c>
      <c r="D203" t="s">
        <v>11</v>
      </c>
      <c r="E203" t="s">
        <v>32</v>
      </c>
      <c r="F203" t="s">
        <v>22</v>
      </c>
      <c r="G203">
        <v>23</v>
      </c>
      <c r="H203">
        <v>2842</v>
      </c>
      <c r="I203">
        <v>10</v>
      </c>
      <c r="J203" t="s">
        <v>43</v>
      </c>
    </row>
    <row r="204" spans="1:10" x14ac:dyDescent="0.25">
      <c r="A204">
        <v>1089</v>
      </c>
      <c r="B204" t="s">
        <v>48</v>
      </c>
      <c r="C204">
        <v>47</v>
      </c>
      <c r="D204" t="s">
        <v>11</v>
      </c>
      <c r="E204" t="s">
        <v>17</v>
      </c>
      <c r="F204" t="s">
        <v>29</v>
      </c>
      <c r="G204">
        <v>21</v>
      </c>
      <c r="H204">
        <v>2197</v>
      </c>
      <c r="I204">
        <v>6</v>
      </c>
      <c r="J204" t="s">
        <v>30</v>
      </c>
    </row>
    <row r="205" spans="1:10" x14ac:dyDescent="0.25">
      <c r="A205">
        <v>1092</v>
      </c>
      <c r="B205" t="s">
        <v>52</v>
      </c>
      <c r="C205">
        <v>43</v>
      </c>
      <c r="D205" t="s">
        <v>16</v>
      </c>
      <c r="E205" t="s">
        <v>27</v>
      </c>
      <c r="F205" t="s">
        <v>29</v>
      </c>
      <c r="G205">
        <v>5</v>
      </c>
      <c r="H205">
        <v>1840</v>
      </c>
      <c r="I205">
        <v>2</v>
      </c>
      <c r="J205" t="s">
        <v>30</v>
      </c>
    </row>
    <row r="206" spans="1:10" x14ac:dyDescent="0.25">
      <c r="A206">
        <v>1096</v>
      </c>
      <c r="B206" t="s">
        <v>52</v>
      </c>
      <c r="C206">
        <v>44</v>
      </c>
      <c r="D206" t="s">
        <v>16</v>
      </c>
      <c r="E206" t="s">
        <v>25</v>
      </c>
      <c r="F206" t="s">
        <v>38</v>
      </c>
      <c r="G206">
        <v>30</v>
      </c>
      <c r="H206">
        <v>972</v>
      </c>
      <c r="I206">
        <v>3</v>
      </c>
      <c r="J206" t="s">
        <v>19</v>
      </c>
    </row>
    <row r="207" spans="1:10" x14ac:dyDescent="0.25">
      <c r="A207">
        <v>1103</v>
      </c>
      <c r="B207" t="s">
        <v>26</v>
      </c>
      <c r="C207">
        <v>47</v>
      </c>
      <c r="D207" t="s">
        <v>11</v>
      </c>
      <c r="E207" t="s">
        <v>12</v>
      </c>
      <c r="F207" t="s">
        <v>38</v>
      </c>
      <c r="G207">
        <v>29</v>
      </c>
      <c r="H207">
        <v>1349</v>
      </c>
      <c r="I207">
        <v>7</v>
      </c>
      <c r="J207" t="s">
        <v>19</v>
      </c>
    </row>
    <row r="208" spans="1:10" x14ac:dyDescent="0.25">
      <c r="A208">
        <v>1113</v>
      </c>
      <c r="B208" t="s">
        <v>31</v>
      </c>
      <c r="C208">
        <v>47</v>
      </c>
      <c r="D208" t="s">
        <v>11</v>
      </c>
      <c r="E208" t="s">
        <v>49</v>
      </c>
      <c r="F208" t="s">
        <v>41</v>
      </c>
      <c r="G208">
        <v>28</v>
      </c>
      <c r="H208">
        <v>1242</v>
      </c>
      <c r="I208">
        <v>7</v>
      </c>
      <c r="J208" t="s">
        <v>36</v>
      </c>
    </row>
    <row r="209" spans="1:10" x14ac:dyDescent="0.25">
      <c r="A209">
        <v>1114</v>
      </c>
      <c r="B209" t="s">
        <v>47</v>
      </c>
      <c r="C209">
        <v>41</v>
      </c>
      <c r="D209" t="s">
        <v>16</v>
      </c>
      <c r="E209" t="s">
        <v>25</v>
      </c>
      <c r="F209" t="s">
        <v>29</v>
      </c>
      <c r="G209">
        <v>19</v>
      </c>
      <c r="H209">
        <v>1705</v>
      </c>
      <c r="I209">
        <v>8</v>
      </c>
      <c r="J209" t="s">
        <v>19</v>
      </c>
    </row>
    <row r="210" spans="1:10" x14ac:dyDescent="0.25">
      <c r="A210">
        <v>1115</v>
      </c>
      <c r="B210" t="s">
        <v>40</v>
      </c>
      <c r="C210">
        <v>43</v>
      </c>
      <c r="D210" t="s">
        <v>16</v>
      </c>
      <c r="E210" t="s">
        <v>12</v>
      </c>
      <c r="F210" t="s">
        <v>38</v>
      </c>
      <c r="G210">
        <v>9</v>
      </c>
      <c r="H210">
        <v>2611</v>
      </c>
      <c r="I210">
        <v>9</v>
      </c>
      <c r="J210" t="s">
        <v>30</v>
      </c>
    </row>
    <row r="211" spans="1:10" x14ac:dyDescent="0.25">
      <c r="A211">
        <v>1117</v>
      </c>
      <c r="B211" t="s">
        <v>31</v>
      </c>
      <c r="C211">
        <v>46</v>
      </c>
      <c r="D211" t="s">
        <v>11</v>
      </c>
      <c r="E211" t="s">
        <v>27</v>
      </c>
      <c r="F211" t="s">
        <v>33</v>
      </c>
      <c r="G211">
        <v>28</v>
      </c>
      <c r="H211">
        <v>1940</v>
      </c>
      <c r="I211">
        <v>0</v>
      </c>
      <c r="J211" t="s">
        <v>30</v>
      </c>
    </row>
    <row r="212" spans="1:10" x14ac:dyDescent="0.25">
      <c r="A212">
        <v>1120</v>
      </c>
      <c r="B212" t="s">
        <v>24</v>
      </c>
      <c r="C212">
        <v>47</v>
      </c>
      <c r="D212" t="s">
        <v>11</v>
      </c>
      <c r="E212" t="s">
        <v>12</v>
      </c>
      <c r="F212" t="s">
        <v>18</v>
      </c>
      <c r="G212">
        <v>26</v>
      </c>
      <c r="H212">
        <v>2289</v>
      </c>
      <c r="I212">
        <v>10</v>
      </c>
      <c r="J212" t="s">
        <v>19</v>
      </c>
    </row>
    <row r="213" spans="1:10" x14ac:dyDescent="0.25">
      <c r="A213">
        <v>1122</v>
      </c>
      <c r="B213" t="s">
        <v>26</v>
      </c>
      <c r="C213">
        <v>43</v>
      </c>
      <c r="D213" t="s">
        <v>16</v>
      </c>
      <c r="E213" t="s">
        <v>32</v>
      </c>
      <c r="F213" t="s">
        <v>29</v>
      </c>
      <c r="G213">
        <v>25</v>
      </c>
      <c r="H213">
        <v>2312</v>
      </c>
      <c r="I213">
        <v>1</v>
      </c>
      <c r="J213" t="s">
        <v>14</v>
      </c>
    </row>
    <row r="214" spans="1:10" x14ac:dyDescent="0.25">
      <c r="A214">
        <v>1123</v>
      </c>
      <c r="B214" t="s">
        <v>51</v>
      </c>
      <c r="C214">
        <v>43</v>
      </c>
      <c r="D214" t="s">
        <v>16</v>
      </c>
      <c r="E214" t="s">
        <v>12</v>
      </c>
      <c r="F214" t="s">
        <v>22</v>
      </c>
      <c r="G214">
        <v>13</v>
      </c>
      <c r="H214">
        <v>894</v>
      </c>
      <c r="I214">
        <v>7</v>
      </c>
      <c r="J214" t="s">
        <v>36</v>
      </c>
    </row>
    <row r="215" spans="1:10" x14ac:dyDescent="0.25">
      <c r="A215">
        <v>1127</v>
      </c>
      <c r="B215" t="s">
        <v>39</v>
      </c>
      <c r="C215">
        <v>48</v>
      </c>
      <c r="D215" t="s">
        <v>11</v>
      </c>
      <c r="E215" t="s">
        <v>21</v>
      </c>
      <c r="F215" t="s">
        <v>13</v>
      </c>
      <c r="G215">
        <v>28</v>
      </c>
      <c r="H215">
        <v>2552</v>
      </c>
      <c r="I215">
        <v>1</v>
      </c>
      <c r="J215" t="s">
        <v>43</v>
      </c>
    </row>
    <row r="216" spans="1:10" x14ac:dyDescent="0.25">
      <c r="A216">
        <v>1128</v>
      </c>
      <c r="B216" t="s">
        <v>31</v>
      </c>
      <c r="C216">
        <v>41</v>
      </c>
      <c r="D216" t="s">
        <v>16</v>
      </c>
      <c r="E216" t="s">
        <v>35</v>
      </c>
      <c r="F216" t="s">
        <v>33</v>
      </c>
      <c r="G216">
        <v>29</v>
      </c>
      <c r="H216">
        <v>840</v>
      </c>
      <c r="I216">
        <v>9</v>
      </c>
      <c r="J216" t="s">
        <v>14</v>
      </c>
    </row>
    <row r="217" spans="1:10" x14ac:dyDescent="0.25">
      <c r="A217">
        <v>1131</v>
      </c>
      <c r="B217" t="s">
        <v>51</v>
      </c>
      <c r="C217">
        <v>42</v>
      </c>
      <c r="D217" t="s">
        <v>16</v>
      </c>
      <c r="E217" t="s">
        <v>12</v>
      </c>
      <c r="F217" t="s">
        <v>38</v>
      </c>
      <c r="G217">
        <v>21</v>
      </c>
      <c r="H217">
        <v>2642</v>
      </c>
      <c r="I217">
        <v>7</v>
      </c>
      <c r="J217" t="s">
        <v>43</v>
      </c>
    </row>
    <row r="218" spans="1:10" x14ac:dyDescent="0.25">
      <c r="A218">
        <v>1133</v>
      </c>
      <c r="B218" t="s">
        <v>31</v>
      </c>
      <c r="C218">
        <v>44</v>
      </c>
      <c r="D218" t="s">
        <v>16</v>
      </c>
      <c r="E218" t="s">
        <v>25</v>
      </c>
      <c r="F218" t="s">
        <v>38</v>
      </c>
      <c r="G218">
        <v>7</v>
      </c>
      <c r="H218">
        <v>725</v>
      </c>
      <c r="I218">
        <v>8</v>
      </c>
      <c r="J218" t="s">
        <v>23</v>
      </c>
    </row>
    <row r="219" spans="1:10" x14ac:dyDescent="0.25">
      <c r="A219">
        <v>1135</v>
      </c>
      <c r="B219" t="s">
        <v>47</v>
      </c>
      <c r="C219">
        <v>41</v>
      </c>
      <c r="D219" t="s">
        <v>11</v>
      </c>
      <c r="E219" t="s">
        <v>21</v>
      </c>
      <c r="F219" t="s">
        <v>41</v>
      </c>
      <c r="G219">
        <v>21</v>
      </c>
      <c r="H219">
        <v>2833</v>
      </c>
      <c r="I219">
        <v>9</v>
      </c>
      <c r="J219" t="s">
        <v>19</v>
      </c>
    </row>
    <row r="220" spans="1:10" x14ac:dyDescent="0.25">
      <c r="A220">
        <v>1136</v>
      </c>
      <c r="B220" t="s">
        <v>15</v>
      </c>
      <c r="C220">
        <v>44</v>
      </c>
      <c r="D220" t="s">
        <v>11</v>
      </c>
      <c r="E220" t="s">
        <v>27</v>
      </c>
      <c r="F220" t="s">
        <v>41</v>
      </c>
      <c r="G220">
        <v>7</v>
      </c>
      <c r="H220">
        <v>896</v>
      </c>
      <c r="I220">
        <v>2</v>
      </c>
      <c r="J220" t="s">
        <v>14</v>
      </c>
    </row>
    <row r="221" spans="1:10" x14ac:dyDescent="0.25">
      <c r="A221">
        <v>1139</v>
      </c>
      <c r="B221" t="s">
        <v>26</v>
      </c>
      <c r="C221">
        <v>45</v>
      </c>
      <c r="D221" t="s">
        <v>11</v>
      </c>
      <c r="E221" t="s">
        <v>49</v>
      </c>
      <c r="F221" t="s">
        <v>13</v>
      </c>
      <c r="G221">
        <v>29</v>
      </c>
      <c r="H221">
        <v>2742</v>
      </c>
      <c r="I221">
        <v>9</v>
      </c>
      <c r="J221" t="s">
        <v>23</v>
      </c>
    </row>
    <row r="222" spans="1:10" x14ac:dyDescent="0.25">
      <c r="A222">
        <v>1149</v>
      </c>
      <c r="B222" t="s">
        <v>52</v>
      </c>
      <c r="C222">
        <v>42</v>
      </c>
      <c r="D222" t="s">
        <v>11</v>
      </c>
      <c r="E222" t="s">
        <v>17</v>
      </c>
      <c r="F222" t="s">
        <v>18</v>
      </c>
      <c r="G222">
        <v>27</v>
      </c>
      <c r="H222">
        <v>2247</v>
      </c>
      <c r="I222">
        <v>3</v>
      </c>
      <c r="J222" t="s">
        <v>23</v>
      </c>
    </row>
    <row r="223" spans="1:10" x14ac:dyDescent="0.25">
      <c r="A223">
        <v>1153</v>
      </c>
      <c r="B223" t="s">
        <v>48</v>
      </c>
      <c r="C223">
        <v>46</v>
      </c>
      <c r="D223" t="s">
        <v>11</v>
      </c>
      <c r="E223" t="s">
        <v>12</v>
      </c>
      <c r="F223" t="s">
        <v>13</v>
      </c>
      <c r="G223">
        <v>24</v>
      </c>
      <c r="H223">
        <v>1401</v>
      </c>
      <c r="I223">
        <v>8</v>
      </c>
      <c r="J223" t="s">
        <v>43</v>
      </c>
    </row>
    <row r="224" spans="1:10" x14ac:dyDescent="0.25">
      <c r="A224">
        <v>1155</v>
      </c>
      <c r="B224" t="s">
        <v>52</v>
      </c>
      <c r="C224">
        <v>41</v>
      </c>
      <c r="D224" t="s">
        <v>11</v>
      </c>
      <c r="E224" t="s">
        <v>27</v>
      </c>
      <c r="F224" t="s">
        <v>29</v>
      </c>
      <c r="G224">
        <v>13</v>
      </c>
      <c r="H224">
        <v>2599</v>
      </c>
      <c r="I224">
        <v>6</v>
      </c>
      <c r="J224" t="s">
        <v>36</v>
      </c>
    </row>
    <row r="225" spans="1:10" x14ac:dyDescent="0.25">
      <c r="A225">
        <v>1159</v>
      </c>
      <c r="B225" t="s">
        <v>28</v>
      </c>
      <c r="C225">
        <v>41</v>
      </c>
      <c r="D225" t="s">
        <v>11</v>
      </c>
      <c r="E225" t="s">
        <v>25</v>
      </c>
      <c r="F225" t="s">
        <v>41</v>
      </c>
      <c r="G225">
        <v>22</v>
      </c>
      <c r="H225">
        <v>1483</v>
      </c>
      <c r="I225">
        <v>5</v>
      </c>
      <c r="J225" t="s">
        <v>30</v>
      </c>
    </row>
    <row r="226" spans="1:10" x14ac:dyDescent="0.25">
      <c r="A226">
        <v>1160</v>
      </c>
      <c r="B226" t="s">
        <v>39</v>
      </c>
      <c r="C226">
        <v>43</v>
      </c>
      <c r="D226" t="s">
        <v>16</v>
      </c>
      <c r="E226" t="s">
        <v>32</v>
      </c>
      <c r="F226" t="s">
        <v>29</v>
      </c>
      <c r="G226">
        <v>11</v>
      </c>
      <c r="H226">
        <v>1090</v>
      </c>
      <c r="I226">
        <v>0</v>
      </c>
      <c r="J226" t="s">
        <v>23</v>
      </c>
    </row>
    <row r="227" spans="1:10" x14ac:dyDescent="0.25">
      <c r="A227">
        <v>1164</v>
      </c>
      <c r="B227" t="s">
        <v>39</v>
      </c>
      <c r="C227">
        <v>42</v>
      </c>
      <c r="D227" t="s">
        <v>16</v>
      </c>
      <c r="E227" t="s">
        <v>21</v>
      </c>
      <c r="F227" t="s">
        <v>41</v>
      </c>
      <c r="G227">
        <v>28</v>
      </c>
      <c r="H227">
        <v>1174</v>
      </c>
      <c r="I227">
        <v>10</v>
      </c>
      <c r="J227" t="s">
        <v>19</v>
      </c>
    </row>
    <row r="228" spans="1:10" x14ac:dyDescent="0.25">
      <c r="A228">
        <v>1166</v>
      </c>
      <c r="B228" t="s">
        <v>34</v>
      </c>
      <c r="C228">
        <v>42</v>
      </c>
      <c r="D228" t="s">
        <v>11</v>
      </c>
      <c r="E228" t="s">
        <v>21</v>
      </c>
      <c r="F228" t="s">
        <v>33</v>
      </c>
      <c r="G228">
        <v>13</v>
      </c>
      <c r="H228">
        <v>2553</v>
      </c>
      <c r="I228">
        <v>9</v>
      </c>
      <c r="J228" t="s">
        <v>30</v>
      </c>
    </row>
    <row r="229" spans="1:10" x14ac:dyDescent="0.25">
      <c r="A229">
        <v>1169</v>
      </c>
      <c r="B229" t="s">
        <v>46</v>
      </c>
      <c r="C229">
        <v>44</v>
      </c>
      <c r="D229" t="s">
        <v>16</v>
      </c>
      <c r="E229" t="s">
        <v>12</v>
      </c>
      <c r="F229" t="s">
        <v>18</v>
      </c>
      <c r="G229">
        <v>16</v>
      </c>
      <c r="H229">
        <v>2563</v>
      </c>
      <c r="I229">
        <v>10</v>
      </c>
      <c r="J229" t="s">
        <v>14</v>
      </c>
    </row>
    <row r="230" spans="1:10" x14ac:dyDescent="0.25">
      <c r="A230">
        <v>1171</v>
      </c>
      <c r="B230" t="s">
        <v>48</v>
      </c>
      <c r="C230">
        <v>49</v>
      </c>
      <c r="D230" t="s">
        <v>16</v>
      </c>
      <c r="E230" t="s">
        <v>21</v>
      </c>
      <c r="F230" t="s">
        <v>29</v>
      </c>
      <c r="G230">
        <v>14</v>
      </c>
      <c r="H230">
        <v>675</v>
      </c>
      <c r="I230">
        <v>2</v>
      </c>
      <c r="J230" t="s">
        <v>23</v>
      </c>
    </row>
    <row r="231" spans="1:10" x14ac:dyDescent="0.25">
      <c r="A231">
        <v>1172</v>
      </c>
      <c r="B231" t="s">
        <v>52</v>
      </c>
      <c r="C231">
        <v>50</v>
      </c>
      <c r="D231" t="s">
        <v>16</v>
      </c>
      <c r="E231" t="s">
        <v>32</v>
      </c>
      <c r="F231" t="s">
        <v>22</v>
      </c>
      <c r="G231">
        <v>17</v>
      </c>
      <c r="H231">
        <v>957</v>
      </c>
      <c r="I231">
        <v>8</v>
      </c>
      <c r="J231" t="s">
        <v>19</v>
      </c>
    </row>
    <row r="232" spans="1:10" x14ac:dyDescent="0.25">
      <c r="A232">
        <v>1180</v>
      </c>
      <c r="B232" t="s">
        <v>45</v>
      </c>
      <c r="C232">
        <v>46</v>
      </c>
      <c r="D232" t="s">
        <v>16</v>
      </c>
      <c r="E232" t="s">
        <v>17</v>
      </c>
      <c r="F232" t="s">
        <v>41</v>
      </c>
      <c r="G232">
        <v>23</v>
      </c>
      <c r="H232">
        <v>1884</v>
      </c>
      <c r="I232">
        <v>7</v>
      </c>
      <c r="J232" t="s">
        <v>14</v>
      </c>
    </row>
    <row r="233" spans="1:10" x14ac:dyDescent="0.25">
      <c r="A233">
        <v>1183</v>
      </c>
      <c r="B233" t="s">
        <v>42</v>
      </c>
      <c r="C233">
        <v>42</v>
      </c>
      <c r="D233" t="s">
        <v>11</v>
      </c>
      <c r="E233" t="s">
        <v>25</v>
      </c>
      <c r="F233" t="s">
        <v>38</v>
      </c>
      <c r="G233">
        <v>18</v>
      </c>
      <c r="H233">
        <v>2304</v>
      </c>
      <c r="I233">
        <v>1</v>
      </c>
      <c r="J233" t="s">
        <v>19</v>
      </c>
    </row>
    <row r="234" spans="1:10" x14ac:dyDescent="0.25">
      <c r="A234">
        <v>1187</v>
      </c>
      <c r="B234" t="s">
        <v>42</v>
      </c>
      <c r="C234">
        <v>47</v>
      </c>
      <c r="D234" t="s">
        <v>11</v>
      </c>
      <c r="E234" t="s">
        <v>25</v>
      </c>
      <c r="F234" t="s">
        <v>22</v>
      </c>
      <c r="G234">
        <v>7</v>
      </c>
      <c r="H234">
        <v>1016</v>
      </c>
      <c r="I234">
        <v>6</v>
      </c>
      <c r="J234" t="s">
        <v>43</v>
      </c>
    </row>
    <row r="235" spans="1:10" x14ac:dyDescent="0.25">
      <c r="A235">
        <v>1188</v>
      </c>
      <c r="B235" t="s">
        <v>46</v>
      </c>
      <c r="C235">
        <v>50</v>
      </c>
      <c r="D235" t="s">
        <v>11</v>
      </c>
      <c r="E235" t="s">
        <v>35</v>
      </c>
      <c r="F235" t="s">
        <v>38</v>
      </c>
      <c r="G235">
        <v>20</v>
      </c>
      <c r="H235">
        <v>1042</v>
      </c>
      <c r="I235">
        <v>1</v>
      </c>
      <c r="J235" t="s">
        <v>36</v>
      </c>
    </row>
    <row r="236" spans="1:10" x14ac:dyDescent="0.25">
      <c r="A236">
        <v>1191</v>
      </c>
      <c r="B236" t="s">
        <v>26</v>
      </c>
      <c r="C236">
        <v>46</v>
      </c>
      <c r="D236" t="s">
        <v>16</v>
      </c>
      <c r="E236" t="s">
        <v>21</v>
      </c>
      <c r="F236" t="s">
        <v>38</v>
      </c>
      <c r="G236">
        <v>18</v>
      </c>
      <c r="H236">
        <v>1644</v>
      </c>
      <c r="I236">
        <v>10</v>
      </c>
      <c r="J236" t="s">
        <v>19</v>
      </c>
    </row>
    <row r="237" spans="1:10" x14ac:dyDescent="0.25">
      <c r="A237">
        <v>1194</v>
      </c>
      <c r="B237" t="s">
        <v>50</v>
      </c>
      <c r="C237">
        <v>45</v>
      </c>
      <c r="D237" t="s">
        <v>11</v>
      </c>
      <c r="E237" t="s">
        <v>27</v>
      </c>
      <c r="F237" t="s">
        <v>33</v>
      </c>
      <c r="G237">
        <v>9</v>
      </c>
      <c r="H237">
        <v>2496</v>
      </c>
      <c r="I237">
        <v>9</v>
      </c>
      <c r="J237" t="s">
        <v>14</v>
      </c>
    </row>
    <row r="238" spans="1:10" x14ac:dyDescent="0.25">
      <c r="A238">
        <v>1204</v>
      </c>
      <c r="B238" t="s">
        <v>44</v>
      </c>
      <c r="C238">
        <v>46</v>
      </c>
      <c r="D238" t="s">
        <v>16</v>
      </c>
      <c r="E238" t="s">
        <v>21</v>
      </c>
      <c r="F238" t="s">
        <v>33</v>
      </c>
      <c r="G238">
        <v>12</v>
      </c>
      <c r="H238">
        <v>1990</v>
      </c>
      <c r="I238">
        <v>9</v>
      </c>
      <c r="J238" t="s">
        <v>23</v>
      </c>
    </row>
    <row r="239" spans="1:10" x14ac:dyDescent="0.25">
      <c r="A239">
        <v>1207</v>
      </c>
      <c r="B239" t="s">
        <v>45</v>
      </c>
      <c r="C239">
        <v>43</v>
      </c>
      <c r="D239" t="s">
        <v>11</v>
      </c>
      <c r="E239" t="s">
        <v>32</v>
      </c>
      <c r="F239" t="s">
        <v>29</v>
      </c>
      <c r="G239">
        <v>5</v>
      </c>
      <c r="H239">
        <v>806</v>
      </c>
      <c r="I239">
        <v>0</v>
      </c>
      <c r="J239" t="s">
        <v>14</v>
      </c>
    </row>
    <row r="240" spans="1:10" x14ac:dyDescent="0.25">
      <c r="A240">
        <v>1209</v>
      </c>
      <c r="B240" t="s">
        <v>51</v>
      </c>
      <c r="C240">
        <v>47</v>
      </c>
      <c r="D240" t="s">
        <v>16</v>
      </c>
      <c r="E240" t="s">
        <v>12</v>
      </c>
      <c r="F240" t="s">
        <v>38</v>
      </c>
      <c r="G240">
        <v>14</v>
      </c>
      <c r="H240">
        <v>688</v>
      </c>
      <c r="I240">
        <v>8</v>
      </c>
      <c r="J240" t="s">
        <v>36</v>
      </c>
    </row>
    <row r="241" spans="1:10" x14ac:dyDescent="0.25">
      <c r="A241">
        <v>1215</v>
      </c>
      <c r="B241" t="s">
        <v>51</v>
      </c>
      <c r="C241">
        <v>47</v>
      </c>
      <c r="D241" t="s">
        <v>11</v>
      </c>
      <c r="E241" t="s">
        <v>27</v>
      </c>
      <c r="F241" t="s">
        <v>38</v>
      </c>
      <c r="G241">
        <v>9</v>
      </c>
      <c r="H241">
        <v>2778</v>
      </c>
      <c r="I241">
        <v>1</v>
      </c>
      <c r="J241" t="s">
        <v>23</v>
      </c>
    </row>
    <row r="242" spans="1:10" x14ac:dyDescent="0.25">
      <c r="A242">
        <v>1223</v>
      </c>
      <c r="B242" t="s">
        <v>40</v>
      </c>
      <c r="C242">
        <v>49</v>
      </c>
      <c r="D242" t="s">
        <v>11</v>
      </c>
      <c r="E242" t="s">
        <v>12</v>
      </c>
      <c r="F242" t="s">
        <v>33</v>
      </c>
      <c r="G242">
        <v>17</v>
      </c>
      <c r="H242">
        <v>2166</v>
      </c>
      <c r="I242">
        <v>9</v>
      </c>
      <c r="J242" t="s">
        <v>43</v>
      </c>
    </row>
    <row r="243" spans="1:10" x14ac:dyDescent="0.25">
      <c r="A243">
        <v>1226</v>
      </c>
      <c r="B243" t="s">
        <v>28</v>
      </c>
      <c r="C243">
        <v>42</v>
      </c>
      <c r="D243" t="s">
        <v>11</v>
      </c>
      <c r="E243" t="s">
        <v>17</v>
      </c>
      <c r="F243" t="s">
        <v>38</v>
      </c>
      <c r="G243">
        <v>16</v>
      </c>
      <c r="H243">
        <v>2614</v>
      </c>
      <c r="I243">
        <v>5</v>
      </c>
      <c r="J243" t="s">
        <v>43</v>
      </c>
    </row>
    <row r="244" spans="1:10" x14ac:dyDescent="0.25">
      <c r="A244">
        <v>1227</v>
      </c>
      <c r="B244" t="s">
        <v>37</v>
      </c>
      <c r="C244">
        <v>44</v>
      </c>
      <c r="D244" t="s">
        <v>11</v>
      </c>
      <c r="E244" t="s">
        <v>32</v>
      </c>
      <c r="F244" t="s">
        <v>22</v>
      </c>
      <c r="G244">
        <v>8</v>
      </c>
      <c r="H244">
        <v>1926</v>
      </c>
      <c r="I244">
        <v>8</v>
      </c>
      <c r="J244" t="s">
        <v>30</v>
      </c>
    </row>
    <row r="245" spans="1:10" x14ac:dyDescent="0.25">
      <c r="A245">
        <v>1229</v>
      </c>
      <c r="B245" t="s">
        <v>50</v>
      </c>
      <c r="C245">
        <v>45</v>
      </c>
      <c r="D245" t="s">
        <v>16</v>
      </c>
      <c r="E245" t="s">
        <v>12</v>
      </c>
      <c r="F245" t="s">
        <v>33</v>
      </c>
      <c r="G245">
        <v>26</v>
      </c>
      <c r="H245">
        <v>2600</v>
      </c>
      <c r="I245">
        <v>10</v>
      </c>
      <c r="J245" t="s">
        <v>43</v>
      </c>
    </row>
    <row r="246" spans="1:10" x14ac:dyDescent="0.25">
      <c r="A246">
        <v>1232</v>
      </c>
      <c r="B246" t="s">
        <v>51</v>
      </c>
      <c r="C246">
        <v>41</v>
      </c>
      <c r="D246" t="s">
        <v>11</v>
      </c>
      <c r="E246" t="s">
        <v>25</v>
      </c>
      <c r="F246" t="s">
        <v>18</v>
      </c>
      <c r="G246">
        <v>24</v>
      </c>
      <c r="H246">
        <v>1931</v>
      </c>
      <c r="I246">
        <v>3</v>
      </c>
      <c r="J246" t="s">
        <v>14</v>
      </c>
    </row>
    <row r="247" spans="1:10" x14ac:dyDescent="0.25">
      <c r="A247">
        <v>1234</v>
      </c>
      <c r="B247" t="s">
        <v>26</v>
      </c>
      <c r="C247">
        <v>42</v>
      </c>
      <c r="D247" t="s">
        <v>16</v>
      </c>
      <c r="E247" t="s">
        <v>35</v>
      </c>
      <c r="F247" t="s">
        <v>18</v>
      </c>
      <c r="G247">
        <v>13</v>
      </c>
      <c r="H247">
        <v>1914</v>
      </c>
      <c r="I247">
        <v>8</v>
      </c>
      <c r="J247" t="s">
        <v>19</v>
      </c>
    </row>
    <row r="248" spans="1:10" x14ac:dyDescent="0.25">
      <c r="A248">
        <v>1238</v>
      </c>
      <c r="B248" t="s">
        <v>52</v>
      </c>
      <c r="C248">
        <v>43</v>
      </c>
      <c r="D248" t="s">
        <v>11</v>
      </c>
      <c r="E248" t="s">
        <v>49</v>
      </c>
      <c r="F248" t="s">
        <v>22</v>
      </c>
      <c r="G248">
        <v>14</v>
      </c>
      <c r="H248">
        <v>2365</v>
      </c>
      <c r="I248">
        <v>8</v>
      </c>
      <c r="J248" t="s">
        <v>30</v>
      </c>
    </row>
    <row r="249" spans="1:10" x14ac:dyDescent="0.25">
      <c r="A249">
        <v>1245</v>
      </c>
      <c r="B249" t="s">
        <v>48</v>
      </c>
      <c r="C249">
        <v>43</v>
      </c>
      <c r="D249" t="s">
        <v>11</v>
      </c>
      <c r="E249" t="s">
        <v>17</v>
      </c>
      <c r="F249" t="s">
        <v>41</v>
      </c>
      <c r="G249">
        <v>9</v>
      </c>
      <c r="H249">
        <v>1832</v>
      </c>
      <c r="I249">
        <v>3</v>
      </c>
      <c r="J249" t="s">
        <v>19</v>
      </c>
    </row>
    <row r="250" spans="1:10" x14ac:dyDescent="0.25">
      <c r="A250">
        <v>1247</v>
      </c>
      <c r="B250" t="s">
        <v>28</v>
      </c>
      <c r="C250">
        <v>48</v>
      </c>
      <c r="D250" t="s">
        <v>11</v>
      </c>
      <c r="E250" t="s">
        <v>49</v>
      </c>
      <c r="F250" t="s">
        <v>41</v>
      </c>
      <c r="G250">
        <v>16</v>
      </c>
      <c r="H250">
        <v>507</v>
      </c>
      <c r="I250">
        <v>3</v>
      </c>
      <c r="J250" t="s">
        <v>43</v>
      </c>
    </row>
    <row r="251" spans="1:10" x14ac:dyDescent="0.25">
      <c r="A251">
        <v>1250</v>
      </c>
      <c r="B251" t="s">
        <v>26</v>
      </c>
      <c r="C251">
        <v>46</v>
      </c>
      <c r="D251" t="s">
        <v>11</v>
      </c>
      <c r="E251" t="s">
        <v>17</v>
      </c>
      <c r="F251" t="s">
        <v>38</v>
      </c>
      <c r="G251">
        <v>24</v>
      </c>
      <c r="H251">
        <v>2054</v>
      </c>
      <c r="I251">
        <v>4</v>
      </c>
      <c r="J251" t="s">
        <v>30</v>
      </c>
    </row>
  </sheetData>
  <pageMargins left="0.7" right="0.7" top="0.75" bottom="0.75" header="0.3" footer="0.3"/>
  <pageSetup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BFBA0-EE3F-4DD7-B1AA-39BC18AAC073}">
  <dimension ref="A1"/>
  <sheetViews>
    <sheetView topLeftCell="A65" zoomScale="16" zoomScaleNormal="26" workbookViewId="0">
      <selection activeCell="DO145" sqref="DO145"/>
    </sheetView>
  </sheetViews>
  <sheetFormatPr defaultRowHeight="15" x14ac:dyDescent="0.25"/>
  <cols>
    <col min="70" max="70" width="41.5703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F1A602-B74B-4E9A-94B0-FDC1FB0712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entertainment_preferences_250</vt:lpstr>
      <vt:lpstr>Sheet1</vt:lpstr>
      <vt:lpstr>Sheet 2</vt:lpstr>
      <vt:lpstr>Sheet3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Kuntumalla</dc:creator>
  <cp:lastModifiedBy>KIRUHTIK A</cp:lastModifiedBy>
  <dcterms:created xsi:type="dcterms:W3CDTF">2025-09-30T09:25:36Z</dcterms:created>
  <dcterms:modified xsi:type="dcterms:W3CDTF">2025-12-10T17:19:35Z</dcterms:modified>
</cp:coreProperties>
</file>